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istiques" sheetId="1" r:id="rId5"/>
    <sheet state="visible" name="Runes" sheetId="2" r:id="rId6"/>
    <sheet state="visible" name="Stats Erwan" sheetId="3" r:id="rId7"/>
    <sheet state="visible" name="Grille Erwan" sheetId="4" r:id="rId8"/>
    <sheet state="visible" name="Stats Bap" sheetId="5" r:id="rId9"/>
    <sheet state="visible" name="Grille Personnage" sheetId="6" r:id="rId10"/>
    <sheet state="visible" name="Grille Baptiste" sheetId="7" r:id="rId11"/>
    <sheet state="visible" name="Journal" sheetId="8" r:id="rId12"/>
    <sheet state="visible" name="Stats JB" sheetId="9" r:id="rId13"/>
    <sheet state="visible" name="Grille JB" sheetId="10" r:id="rId14"/>
    <sheet state="visible" name="Stats Steph" sheetId="11" r:id="rId15"/>
    <sheet state="visible" name="Grille Steph" sheetId="12" r:id="rId16"/>
    <sheet state="visible" name="Stats Fab" sheetId="13" r:id="rId17"/>
    <sheet state="visible" name="Grille Fab" sheetId="14" r:id="rId18"/>
  </sheets>
  <definedNames/>
  <calcPr/>
</workbook>
</file>

<file path=xl/sharedStrings.xml><?xml version="1.0" encoding="utf-8"?>
<sst xmlns="http://schemas.openxmlformats.org/spreadsheetml/2006/main" count="1951" uniqueCount="265">
  <si>
    <t>Force</t>
  </si>
  <si>
    <t>Habileté</t>
  </si>
  <si>
    <t>Mental</t>
  </si>
  <si>
    <t>Magie/Cosmique</t>
  </si>
  <si>
    <t>Total Points</t>
  </si>
  <si>
    <t>HP</t>
  </si>
  <si>
    <t>HP (normal)</t>
  </si>
  <si>
    <t>HP (transcendant)</t>
  </si>
  <si>
    <t>20 AD</t>
  </si>
  <si>
    <t>10 AD</t>
  </si>
  <si>
    <t>5 AD</t>
  </si>
  <si>
    <t>Mana</t>
  </si>
  <si>
    <t>Mana (normal)</t>
  </si>
  <si>
    <t>Mana (transcendant)</t>
  </si>
  <si>
    <t>10 AP</t>
  </si>
  <si>
    <t>5 AP</t>
  </si>
  <si>
    <t>20 AP</t>
  </si>
  <si>
    <t>75 HP</t>
  </si>
  <si>
    <t>45 HP</t>
  </si>
  <si>
    <t>5 HP</t>
  </si>
  <si>
    <t>AD</t>
  </si>
  <si>
    <t>AD (normal)</t>
  </si>
  <si>
    <t>AD (transcendant)</t>
  </si>
  <si>
    <t>20 Mana</t>
  </si>
  <si>
    <t>30 Mana</t>
  </si>
  <si>
    <t>75 Mana</t>
  </si>
  <si>
    <t>5% Crit</t>
  </si>
  <si>
    <t>AP</t>
  </si>
  <si>
    <t>AP (normal)</t>
  </si>
  <si>
    <t>AP (transcendant)</t>
  </si>
  <si>
    <t>2-3% Sapience</t>
  </si>
  <si>
    <t>2% D. Crit</t>
  </si>
  <si>
    <t>5% D. Crit</t>
  </si>
  <si>
    <t>Armure</t>
  </si>
  <si>
    <t>Armure (normal)</t>
  </si>
  <si>
    <t>Armure (transcendant)</t>
  </si>
  <si>
    <t>4-5 Armure</t>
  </si>
  <si>
    <t>1 Armure</t>
  </si>
  <si>
    <t>6 Armure</t>
  </si>
  <si>
    <t>1 Rés. Mag.</t>
  </si>
  <si>
    <t>6 Rés. Mag</t>
  </si>
  <si>
    <t>4-5 Rés. Mag.</t>
  </si>
  <si>
    <t>Rés. Mag</t>
  </si>
  <si>
    <t>Rés. Mag (normal)</t>
  </si>
  <si>
    <t>Rés. Mag (transcendant)</t>
  </si>
  <si>
    <t>Niveau</t>
  </si>
  <si>
    <t>Points gagnés</t>
  </si>
  <si>
    <t>Total des points</t>
  </si>
  <si>
    <t>Limite stats</t>
  </si>
  <si>
    <t>% Crit</t>
  </si>
  <si>
    <t>% Crit (normal)</t>
  </si>
  <si>
    <t>10 (départ)</t>
  </si>
  <si>
    <t>% D. Crit</t>
  </si>
  <si>
    <t>% D. Crit (normal)</t>
  </si>
  <si>
    <t>% D. Crit (transcendant)</t>
  </si>
  <si>
    <t>Sapience</t>
  </si>
  <si>
    <t>Sapience (normal)</t>
  </si>
  <si>
    <t>Sapience (transcendant)</t>
  </si>
  <si>
    <t>Colonne 1</t>
  </si>
  <si>
    <t>Valeurs stats</t>
  </si>
  <si>
    <t>Modificateurs</t>
  </si>
  <si>
    <t>Valeurs max</t>
  </si>
  <si>
    <t>Valeurs avant buffs/débuffs</t>
  </si>
  <si>
    <t>Valeurs effectives</t>
  </si>
  <si>
    <t>Buffs/Débuffs</t>
  </si>
  <si>
    <t>Colonne 2</t>
  </si>
  <si>
    <t>Maîtrise</t>
  </si>
  <si>
    <t>Catégorie d'arme</t>
  </si>
  <si>
    <t>Dégâts</t>
  </si>
  <si>
    <t>1 cristaux translucide autemant explosife</t>
  </si>
  <si>
    <t>1 epee avec effet non identifier</t>
  </si>
  <si>
    <t>Pièces d'or</t>
  </si>
  <si>
    <t>Miraculé (+50% Soins/Bouclier)</t>
  </si>
  <si>
    <t>Dague</t>
  </si>
  <si>
    <t>1 cristaux violet explosif</t>
  </si>
  <si>
    <t>2 parchemin qu'on peut pas lire</t>
  </si>
  <si>
    <t>10 piece or/arg/cuiv</t>
  </si>
  <si>
    <t>1 potion soint mineur 15%+ 15</t>
  </si>
  <si>
    <t>Pièces d'argent</t>
  </si>
  <si>
    <t>Hémorragie (-50% Soins/Bouclier)</t>
  </si>
  <si>
    <t>Physique</t>
  </si>
  <si>
    <t>1H</t>
  </si>
  <si>
    <t>crasse minerale vegetale</t>
  </si>
  <si>
    <t>1 potion mana mineur 10%+ 10</t>
  </si>
  <si>
    <t>Pièces de cuivre</t>
  </si>
  <si>
    <t>Bouclier</t>
  </si>
  <si>
    <t>Brisé (-50% Armure)</t>
  </si>
  <si>
    <t>Choc magique 
(-50% Rés. Mag.)</t>
  </si>
  <si>
    <t>Anéanti (-50% Armure &amp; Rés. Mag.)</t>
  </si>
  <si>
    <t>Affaiblissement (-50% AD)</t>
  </si>
  <si>
    <t>Érosion magique (-50% AP)</t>
  </si>
  <si>
    <t>Épuisement (-50% AD/AP)</t>
  </si>
  <si>
    <t>Rés. Mag.</t>
  </si>
  <si>
    <t>Peau de fer (+50% Armure)</t>
  </si>
  <si>
    <t>Esprit d'acier(+50% Rés. Mag.</t>
  </si>
  <si>
    <t>% Critique</t>
  </si>
  <si>
    <t>Inflexible (+50% Armure &amp; Rés. Mag.)</t>
  </si>
  <si>
    <t>% Dégâts critique</t>
  </si>
  <si>
    <t>Bravoure (+50% AD)</t>
  </si>
  <si>
    <t>Type de léthalité</t>
  </si>
  <si>
    <t>0 = pas de léthalité</t>
  </si>
  <si>
    <t xml:space="preserve">1=léthalité physique </t>
  </si>
  <si>
    <t>2=léthalité magique</t>
  </si>
  <si>
    <t>3=léthalité phys. et mag.</t>
  </si>
  <si>
    <t>Foi (+50% AP)</t>
  </si>
  <si>
    <t>% Vol de vie</t>
  </si>
  <si>
    <t>Héroïsme (+50% AP/AD)</t>
  </si>
  <si>
    <t>% Sapience</t>
  </si>
  <si>
    <t>Aiguisage (% Crit doublé)</t>
  </si>
  <si>
    <t>% Omnivamp</t>
  </si>
  <si>
    <t>Comp 2  (tours restants)</t>
  </si>
  <si>
    <t>Comp 2 durée fumigène</t>
  </si>
  <si>
    <t>Inventaire :</t>
  </si>
  <si>
    <t>Catégorie d'objet</t>
  </si>
  <si>
    <t>Nom d'objet</t>
  </si>
  <si>
    <t>Quantité</t>
  </si>
  <si>
    <t>Commentaires</t>
  </si>
  <si>
    <t>Équipement</t>
  </si>
  <si>
    <t>Dague (Loyauté)</t>
  </si>
  <si>
    <t>Épée* (NI)</t>
  </si>
  <si>
    <t>Consommables</t>
  </si>
  <si>
    <t>Potion soin mineur</t>
  </si>
  <si>
    <t>Rend (15 + 15%) HP</t>
  </si>
  <si>
    <t>Potion mana mineur</t>
  </si>
  <si>
    <t>Rend (10 + 10%) Mana</t>
  </si>
  <si>
    <t>Parchemins (NI)</t>
  </si>
  <si>
    <t>pierre de talia</t>
  </si>
  <si>
    <t>Cristal explosif</t>
  </si>
  <si>
    <t>Cristal très explosif</t>
  </si>
  <si>
    <t>Butin</t>
  </si>
  <si>
    <t>butin de monstre tuto</t>
  </si>
  <si>
    <t>Pièces de platine (pp)</t>
  </si>
  <si>
    <t>Pièces d'or (Po)</t>
  </si>
  <si>
    <t>10 pièces d'or = 
1 pièce de platine</t>
  </si>
  <si>
    <t>Pièces d'argent (Pa)</t>
  </si>
  <si>
    <t xml:space="preserve">100 pièces d'argent =
1 pièce d'or
</t>
  </si>
  <si>
    <t>Pièces de cuivre (Pc</t>
  </si>
  <si>
    <t xml:space="preserve">100 pièces de cuivres =
1 pièce d'argent
</t>
  </si>
  <si>
    <t>Valeurs actuels</t>
  </si>
  <si>
    <t>Colonne 3</t>
  </si>
  <si>
    <t>Choc magique (-50% Rés. Mag.)</t>
  </si>
  <si>
    <t>Valeurs avant buff/débuff</t>
  </si>
  <si>
    <t>Gantelet renforcé</t>
  </si>
  <si>
    <t>Mouvement Bonus</t>
  </si>
  <si>
    <t xml:space="preserve"> 2=léthalité magique</t>
  </si>
  <si>
    <t xml:space="preserve">menaces : territoire un peu sécu, docu de noxus, pas forcément à jour </t>
  </si>
  <si>
    <t xml:space="preserve">parmis les biomes : att en quittant le champs des dunes  (désert classique). Biomes suivants bcp moins recommandé !  </t>
  </si>
  <si>
    <t>BRAS DROIT OUT</t>
  </si>
  <si>
    <t>État de Fatigue : 2</t>
  </si>
  <si>
    <t xml:space="preserve">STOCKS : 2 </t>
  </si>
  <si>
    <t xml:space="preserve">distance : 7 cases </t>
  </si>
  <si>
    <t xml:space="preserve">9 cases </t>
  </si>
  <si>
    <t>gantelet</t>
  </si>
  <si>
    <t>OBJET</t>
  </si>
  <si>
    <t xml:space="preserve">KEMINITE </t>
  </si>
  <si>
    <t>APPEL TALIYAH</t>
  </si>
  <si>
    <t>Urskaar</t>
  </si>
  <si>
    <t>?</t>
  </si>
  <si>
    <t>Jett</t>
  </si>
  <si>
    <t>Élias</t>
  </si>
  <si>
    <t>Smith</t>
  </si>
  <si>
    <t>Rathael</t>
  </si>
  <si>
    <t>Date</t>
  </si>
  <si>
    <t>Arme</t>
  </si>
  <si>
    <t>Type</t>
  </si>
  <si>
    <t>Mode</t>
  </si>
  <si>
    <t>Critique</t>
  </si>
  <si>
    <t>Lance</t>
  </si>
  <si>
    <t>offensif</t>
  </si>
  <si>
    <t>Non</t>
  </si>
  <si>
    <t>défensif</t>
  </si>
  <si>
    <t>defensif</t>
  </si>
  <si>
    <t>équilibré</t>
  </si>
  <si>
    <t>Oui</t>
  </si>
  <si>
    <t>Grimoire</t>
  </si>
  <si>
    <t>Magique</t>
  </si>
  <si>
    <t>-</t>
  </si>
  <si>
    <t>Orbe magique</t>
  </si>
  <si>
    <t>Grille JB</t>
  </si>
  <si>
    <t>Aucune (non maîtrisée)</t>
  </si>
  <si>
    <t>Fourberie, Mini-Arme</t>
  </si>
  <si>
    <t>Grille Fab</t>
  </si>
  <si>
    <t>Arc long</t>
  </si>
  <si>
    <t>2H</t>
  </si>
  <si>
    <t>Grille Steph</t>
  </si>
  <si>
    <t>Masse d’armes</t>
  </si>
  <si>
    <t>Assommage, Focalisation, Mini-Arme</t>
  </si>
  <si>
    <t>Focalisation (+Mana)</t>
  </si>
  <si>
    <t>Grille Erwan</t>
  </si>
  <si>
    <t>Grille Baptiste</t>
  </si>
  <si>
    <t>Combo</t>
  </si>
  <si>
    <t>Relique lunaire/solaire</t>
  </si>
  <si>
    <t>Connexion astrale</t>
  </si>
  <si>
    <t>Claymore</t>
  </si>
  <si>
    <t>Balayage</t>
  </si>
  <si>
    <t>Comp1 Pugilat (Gauche)</t>
  </si>
  <si>
    <t>Pas d'attaque d'opportunité ce tour</t>
  </si>
  <si>
    <t>Coût mana: 30</t>
  </si>
  <si>
    <t>Voie de l’ours : +150%</t>
  </si>
  <si>
    <t>Voie de l’ours : +175%</t>
  </si>
  <si>
    <t>Comp1 Pugilat (Droite)</t>
  </si>
  <si>
    <t>Comp2 Écrasement</t>
  </si>
  <si>
    <t>Déplacement=5 ; Tranches=1 ; Portée=4</t>
  </si>
  <si>
    <t>Coût mana: 50</t>
  </si>
  <si>
    <t>Épée courte</t>
  </si>
  <si>
    <t>Poly</t>
  </si>
  <si>
    <t>Attaque double, Mini-Arme</t>
  </si>
  <si>
    <t>Déplacement=12 ; Tranches=3 ; Portée=6</t>
  </si>
  <si>
    <t>Furtive (+2 jets d'attaque Roll20, +10% crit)</t>
  </si>
  <si>
    <t>Arbalète légère</t>
  </si>
  <si>
    <t>Furtive (+2 jets d'attaque Roll20, +10% crit) | Voie de l'ours : +150%</t>
  </si>
  <si>
    <t>Aucune</t>
  </si>
  <si>
    <t>Déplacement=8 ; Tranches=2 ; Portée=5</t>
  </si>
  <si>
    <t>Déplacement=10 ; Tranches=2 ; Portée=5</t>
  </si>
  <si>
    <t>çalu çalu</t>
  </si>
  <si>
    <t>Rune Domination/ Sadisme</t>
  </si>
  <si>
    <t>10 Letalité</t>
  </si>
  <si>
    <t>Glaciation</t>
  </si>
  <si>
    <t>Compteur de dégâts (max
par tour)</t>
  </si>
  <si>
    <t>Ame fendue</t>
  </si>
  <si>
    <t xml:space="preserve">Compteur de tour (mur
de givre) </t>
  </si>
  <si>
    <t>Static, augmente les resistances + petit shield</t>
  </si>
  <si>
    <t>Mur de givre (activé
ou non)</t>
  </si>
  <si>
    <t>Claymore Bouclier Hache</t>
  </si>
  <si>
    <t>Fatigue : 1</t>
  </si>
  <si>
    <t>Eau : 3</t>
  </si>
  <si>
    <t xml:space="preserve"> 10 AD (jusqu'à la fin de la traversée))</t>
  </si>
  <si>
    <t>Épée + Bouclier</t>
  </si>
  <si>
    <t>Kéminite</t>
  </si>
  <si>
    <t>Sert a appeler Taliyah</t>
  </si>
  <si>
    <t>Flash</t>
  </si>
  <si>
    <t>potion : 15 (flat) + 15%</t>
  </si>
  <si>
    <t>Cellules déployées</t>
  </si>
  <si>
    <t>Arc hextech</t>
  </si>
  <si>
    <t>10 pièces d'or</t>
  </si>
  <si>
    <t>10 pièces d'argent</t>
  </si>
  <si>
    <t>10 pièces de cuivre</t>
  </si>
  <si>
    <t>Livre : L'Histoire 
de Runeterra</t>
  </si>
  <si>
    <t xml:space="preserve">Boite à outils </t>
  </si>
  <si>
    <t>Potion néfaste inconnu</t>
  </si>
  <si>
    <t>Pierre magique 
de transmutation</t>
  </si>
  <si>
    <t xml:space="preserve">Fatigue </t>
  </si>
  <si>
    <t xml:space="preserve">Eau </t>
  </si>
  <si>
    <t>Runes</t>
  </si>
  <si>
    <t>Agression +20 AD</t>
  </si>
  <si>
    <t>Mobilité +1MS +1JA</t>
  </si>
  <si>
    <t>Portée</t>
  </si>
  <si>
    <t>Stack passif</t>
  </si>
  <si>
    <t>(Penser à reset manuellement le stack après un full reset ou reset AD)</t>
  </si>
  <si>
    <t>Dégâts/Soin Comp. 1</t>
  </si>
  <si>
    <t>Dégâts Comp. 2</t>
  </si>
  <si>
    <t>Dégâts Comp. 3</t>
  </si>
  <si>
    <t>Dégâts/soin Comp. 4</t>
  </si>
  <si>
    <t>25 pa</t>
  </si>
  <si>
    <t>Dague (dans sa botte)</t>
  </si>
  <si>
    <t>1 pa</t>
  </si>
  <si>
    <t>Hachette (arme secondaire)</t>
  </si>
  <si>
    <t>Brisage/Mini-arme
1 pa</t>
  </si>
  <si>
    <t>Tricorne</t>
  </si>
  <si>
    <t>Valeur d'une pièce d'or 
(sentimental)</t>
  </si>
  <si>
    <t>Boussole</t>
  </si>
  <si>
    <t>Carte</t>
  </si>
  <si>
    <t>N/A</t>
  </si>
  <si>
    <t>Gourde</t>
  </si>
  <si>
    <t>10 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</si>
</sst>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0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sz val="13.0"/>
      <color theme="0"/>
      <name val="Times New Roman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color rgb="FF000000"/>
      <name val="Arial"/>
      <scheme val="minor"/>
    </font>
    <font>
      <b/>
      <sz val="14.0"/>
      <color theme="1"/>
      <name val="Arial"/>
      <scheme val="minor"/>
    </font>
    <font>
      <sz val="13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8.0"/>
      <color theme="1"/>
      <name val="Arial"/>
      <scheme val="minor"/>
    </font>
    <font>
      <sz val="14.0"/>
      <color theme="1"/>
      <name val="Times New Roman"/>
    </font>
    <font>
      <color rgb="FFFF0000"/>
      <name val="Arial"/>
      <scheme val="minor"/>
    </font>
    <font>
      <sz val="18.0"/>
      <color theme="1"/>
      <name val="Arial"/>
      <scheme val="minor"/>
    </font>
    <font>
      <sz val="19.0"/>
      <color theme="1"/>
      <name val="Arial"/>
      <scheme val="minor"/>
    </font>
    <font>
      <sz val="18.0"/>
      <color theme="1"/>
      <name val="Times New Roman"/>
    </font>
    <font>
      <sz val="11.0"/>
      <color theme="1"/>
      <name val="Arial"/>
      <scheme val="minor"/>
    </font>
    <font>
      <b/>
      <sz val="11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1C232"/>
        <bgColor rgb="FFF1C232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theme="4"/>
        <bgColor theme="4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3" fillId="5" fontId="1" numFmtId="0" xfId="0" applyAlignment="1" applyBorder="1" applyFill="1" applyFont="1">
      <alignment horizontal="center" readingOrder="0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5" fillId="6" fontId="2" numFmtId="0" xfId="0" applyAlignment="1" applyBorder="1" applyFill="1" applyFont="1">
      <alignment horizontal="center" readingOrder="0" vertical="center"/>
    </xf>
    <xf borderId="6" fillId="7" fontId="2" numFmtId="0" xfId="0" applyAlignment="1" applyBorder="1" applyFill="1" applyFont="1">
      <alignment horizontal="center" readingOrder="0" vertical="center"/>
    </xf>
    <xf borderId="7" fillId="7" fontId="2" numFmtId="0" xfId="0" applyAlignment="1" applyBorder="1" applyFont="1">
      <alignment horizontal="center" readingOrder="0" vertical="center"/>
    </xf>
    <xf borderId="8" fillId="0" fontId="2" numFmtId="0" xfId="0" applyAlignment="1" applyBorder="1" applyFont="1">
      <alignment horizontal="center" readingOrder="0" vertical="center"/>
    </xf>
    <xf borderId="9" fillId="0" fontId="2" numFmtId="0" xfId="0" applyAlignment="1" applyBorder="1" applyFont="1">
      <alignment horizontal="center" readingOrder="0" vertical="center"/>
    </xf>
    <xf borderId="10" fillId="0" fontId="2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horizontal="center" readingOrder="0" vertical="center"/>
    </xf>
    <xf borderId="12" fillId="0" fontId="2" numFmtId="0" xfId="0" applyAlignment="1" applyBorder="1" applyFont="1">
      <alignment horizontal="center" vertical="center"/>
    </xf>
    <xf borderId="0" fillId="7" fontId="2" numFmtId="0" xfId="0" applyAlignment="1" applyFont="1">
      <alignment horizontal="center" vertical="center"/>
    </xf>
    <xf borderId="13" fillId="7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3" fillId="0" fontId="2" numFmtId="0" xfId="0" applyAlignment="1" applyBorder="1" applyFont="1">
      <alignment horizontal="center" vertical="center"/>
    </xf>
    <xf borderId="5" fillId="8" fontId="2" numFmtId="0" xfId="0" applyAlignment="1" applyBorder="1" applyFill="1" applyFont="1">
      <alignment horizontal="center" readingOrder="0" vertical="center"/>
    </xf>
    <xf borderId="14" fillId="0" fontId="2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 vertical="center"/>
    </xf>
    <xf borderId="5" fillId="9" fontId="2" numFmtId="0" xfId="0" applyAlignment="1" applyBorder="1" applyFill="1" applyFont="1">
      <alignment horizontal="center" readingOrder="0" vertical="center"/>
    </xf>
    <xf borderId="5" fillId="10" fontId="2" numFmtId="0" xfId="0" applyAlignment="1" applyBorder="1" applyFill="1" applyFont="1">
      <alignment horizontal="center" readingOrder="0" vertical="center"/>
    </xf>
    <xf borderId="0" fillId="11" fontId="2" numFmtId="0" xfId="0" applyAlignment="1" applyFill="1" applyFont="1">
      <alignment horizontal="center" vertical="center"/>
    </xf>
    <xf borderId="13" fillId="11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0" fillId="12" fontId="2" numFmtId="0" xfId="0" applyAlignment="1" applyFill="1" applyFont="1">
      <alignment horizontal="center" vertical="center"/>
    </xf>
    <xf borderId="13" fillId="1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5" fillId="13" fontId="3" numFmtId="0" xfId="0" applyAlignment="1" applyBorder="1" applyFill="1" applyFont="1">
      <alignment horizontal="center" readingOrder="0" vertical="center"/>
    </xf>
    <xf borderId="7" fillId="7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11" fillId="0" fontId="2" numFmtId="0" xfId="0" applyAlignment="1" applyBorder="1" applyFont="1">
      <alignment horizontal="center" vertical="center"/>
    </xf>
    <xf borderId="9" fillId="7" fontId="2" numFmtId="0" xfId="0" applyAlignment="1" applyBorder="1" applyFont="1">
      <alignment horizontal="center" vertical="center"/>
    </xf>
    <xf borderId="10" fillId="7" fontId="2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6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/>
    </xf>
    <xf borderId="0" fillId="8" fontId="2" numFmtId="0" xfId="0" applyAlignment="1" applyFont="1">
      <alignment horizontal="center" readingOrder="0" shrinkToFit="0" vertical="center" wrapText="0"/>
    </xf>
    <xf borderId="0" fillId="14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9" fontId="2" numFmtId="0" xfId="0" applyAlignment="1" applyFont="1">
      <alignment horizontal="center" readingOrder="0" shrinkToFit="0" vertical="center" wrapText="0"/>
    </xf>
    <xf borderId="0" fillId="15" fontId="2" numFmtId="0" xfId="0" applyAlignment="1" applyFill="1" applyFont="1">
      <alignment horizontal="center" readingOrder="0" shrinkToFit="0" vertical="center" wrapText="0"/>
    </xf>
    <xf borderId="0" fillId="16" fontId="2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shrinkToFit="0" vertical="center" wrapText="0"/>
    </xf>
    <xf borderId="0" fillId="13" fontId="3" numFmtId="0" xfId="0" applyAlignment="1" applyFont="1">
      <alignment horizontal="center" readingOrder="0" shrinkToFit="0" vertical="center" wrapText="0"/>
    </xf>
    <xf borderId="0" fillId="17" fontId="2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18" fontId="2" numFmtId="0" xfId="0" applyAlignment="1" applyFill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/>
    </xf>
    <xf borderId="0" fillId="0" fontId="4" numFmtId="0" xfId="0" applyFont="1"/>
    <xf borderId="0" fillId="0" fontId="10" numFmtId="0" xfId="0" applyAlignment="1" applyFont="1">
      <alignment horizontal="center" readingOrder="0"/>
    </xf>
    <xf borderId="0" fillId="0" fontId="4" numFmtId="0" xfId="0" applyAlignment="1" applyFont="1">
      <alignment shrinkToFit="0" vertical="center" wrapText="0"/>
    </xf>
    <xf borderId="0" fillId="19" fontId="4" numFmtId="0" xfId="0" applyAlignment="1" applyFill="1" applyFont="1">
      <alignment readingOrder="0"/>
    </xf>
    <xf borderId="0" fillId="0" fontId="4" numFmtId="0" xfId="0" applyAlignment="1" applyFont="1">
      <alignment horizontal="center" shrinkToFit="0" vertical="center" wrapText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12" numFmtId="0" xfId="0" applyAlignment="1" applyFont="1">
      <alignment horizontal="center" readingOrder="0" vertical="center"/>
    </xf>
    <xf borderId="0" fillId="0" fontId="4" numFmtId="0" xfId="0" applyAlignment="1" applyFont="1">
      <alignment horizontal="righ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9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right" readingOrder="0" shrinkToFit="0" vertical="center" wrapText="0"/>
    </xf>
    <xf borderId="0" fillId="0" fontId="4" numFmtId="0" xfId="0" applyAlignment="1" applyFont="1">
      <alignment horizontal="left" readingOrder="0" vertical="center"/>
    </xf>
    <xf borderId="0" fillId="0" fontId="4" numFmtId="164" xfId="0" applyAlignment="1" applyFont="1" applyNumberFormat="1">
      <alignment readingOrder="0"/>
    </xf>
    <xf borderId="0" fillId="0" fontId="13" numFmtId="0" xfId="0" applyAlignment="1" applyFont="1">
      <alignment horizontal="center" readingOrder="0" shrinkToFit="0" vertical="center" wrapText="0"/>
    </xf>
    <xf borderId="0" fillId="0" fontId="13" numFmtId="49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/>
    </xf>
    <xf borderId="0" fillId="2" fontId="15" numFmtId="0" xfId="0" applyAlignment="1" applyFont="1">
      <alignment readingOrder="0"/>
    </xf>
    <xf borderId="0" fillId="19" fontId="4" numFmtId="0" xfId="0" applyFont="1"/>
    <xf borderId="0" fillId="0" fontId="4" numFmtId="0" xfId="0" applyAlignment="1" applyFont="1">
      <alignment horizontal="center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readingOrder="0" shrinkToFit="0" vertical="center" wrapText="0"/>
    </xf>
    <xf borderId="0" fillId="0" fontId="13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center" wrapText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18" fontId="9" numFmtId="0" xfId="0" applyAlignment="1" applyFont="1">
      <alignment readingOrder="0" shrinkToFit="0" vertical="center" wrapText="0"/>
    </xf>
    <xf borderId="0" fillId="18" fontId="4" numFmtId="0" xfId="0" applyAlignment="1" applyFont="1">
      <alignment readingOrder="0" shrinkToFit="0" vertical="center" wrapText="0"/>
    </xf>
    <xf borderId="0" fillId="18" fontId="4" numFmtId="0" xfId="0" applyAlignment="1" applyFont="1">
      <alignment horizontal="center" readingOrder="0" shrinkToFit="0" vertical="center" wrapText="0"/>
    </xf>
    <xf borderId="0" fillId="18" fontId="4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19" numFmtId="0" xfId="0" applyAlignment="1" applyFont="1">
      <alignment horizontal="center" readingOrder="0" vertical="center"/>
    </xf>
    <xf borderId="0" fillId="0" fontId="19" numFmtId="0" xfId="0" applyAlignment="1" applyFont="1">
      <alignment readingOrder="0" vertical="center"/>
    </xf>
    <xf borderId="0" fillId="0" fontId="7" numFmtId="0" xfId="0" applyAlignment="1" applyFont="1">
      <alignment horizontal="left" readingOrder="0"/>
    </xf>
    <xf borderId="0" fillId="0" fontId="4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4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7">
    <tableStyle count="4" pivot="0" name="Statistiqu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 Erw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Erw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Erwa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 B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Personnag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Baptis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Baptist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 J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J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JB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 Step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Steph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Steph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ts Fa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Fa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ille Fab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4.png"/><Relationship Id="rId5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13.png"/><Relationship Id="rId4" Type="http://schemas.openxmlformats.org/officeDocument/2006/relationships/image" Target="../media/image14.png"/><Relationship Id="rId5" Type="http://schemas.openxmlformats.org/officeDocument/2006/relationships/image" Target="../media/image8.png"/><Relationship Id="rId6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Relationship Id="rId3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390525</xdr:colOff>
      <xdr:row>0</xdr:row>
      <xdr:rowOff>200025</xdr:rowOff>
    </xdr:from>
    <xdr:ext cx="12849225" cy="4171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21</xdr:row>
      <xdr:rowOff>123825</xdr:rowOff>
    </xdr:from>
    <xdr:ext cx="12849225" cy="4181475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0</xdr:row>
      <xdr:rowOff>200025</xdr:rowOff>
    </xdr:from>
    <xdr:ext cx="12858750" cy="41719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704850</xdr:colOff>
      <xdr:row>21</xdr:row>
      <xdr:rowOff>123825</xdr:rowOff>
    </xdr:from>
    <xdr:ext cx="12849225" cy="4181475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</xdr:row>
      <xdr:rowOff>114300</xdr:rowOff>
    </xdr:from>
    <xdr:ext cx="12849225" cy="4191000"/>
    <xdr:pic>
      <xdr:nvPicPr>
        <xdr:cNvPr id="0" name="image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180975</xdr:colOff>
      <xdr:row>0</xdr:row>
      <xdr:rowOff>314325</xdr:rowOff>
    </xdr:from>
    <xdr:ext cx="1457325" cy="371475"/>
    <xdr:sp>
      <xdr:nvSpPr>
        <xdr:cNvPr id="3" name="Shape 3"/>
        <xdr:cNvSpPr/>
      </xdr:nvSpPr>
      <xdr:spPr>
        <a:xfrm>
          <a:off x="2521775" y="542825"/>
          <a:ext cx="1436700" cy="3567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physiques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2</xdr:row>
      <xdr:rowOff>28575</xdr:rowOff>
    </xdr:from>
    <xdr:ext cx="1457325" cy="381000"/>
    <xdr:sp>
      <xdr:nvSpPr>
        <xdr:cNvPr id="4" name="Shape 4"/>
        <xdr:cNvSpPr/>
      </xdr:nvSpPr>
      <xdr:spPr>
        <a:xfrm>
          <a:off x="2161900" y="625625"/>
          <a:ext cx="1438800" cy="3657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magiques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4</xdr:row>
      <xdr:rowOff>133350</xdr:rowOff>
    </xdr:from>
    <xdr:ext cx="1457325" cy="381000"/>
    <xdr:sp>
      <xdr:nvSpPr>
        <xdr:cNvPr id="5" name="Shape 5"/>
        <xdr:cNvSpPr/>
      </xdr:nvSpPr>
      <xdr:spPr>
        <a:xfrm>
          <a:off x="1800875" y="719575"/>
          <a:ext cx="1435200" cy="3660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bruts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18</xdr:row>
      <xdr:rowOff>133350</xdr:rowOff>
    </xdr:from>
    <xdr:ext cx="1466850" cy="381000"/>
    <xdr:sp>
      <xdr:nvSpPr>
        <xdr:cNvPr id="6" name="Shape 6"/>
        <xdr:cNvSpPr/>
      </xdr:nvSpPr>
      <xdr:spPr>
        <a:xfrm>
          <a:off x="1797450" y="1258550"/>
          <a:ext cx="1447500" cy="358500"/>
        </a:xfrm>
        <a:prstGeom prst="roundRect">
          <a:avLst>
            <a:gd fmla="val 16667" name="adj"/>
          </a:avLst>
        </a:prstGeom>
        <a:gradFill>
          <a:gsLst>
            <a:gs pos="0">
              <a:srgbClr val="DCECD5"/>
            </a:gs>
            <a:gs pos="100000">
              <a:srgbClr val="92BC81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18</xdr:row>
      <xdr:rowOff>133350</xdr:rowOff>
    </xdr:from>
    <xdr:ext cx="1457325" cy="381000"/>
    <xdr:sp>
      <xdr:nvSpPr>
        <xdr:cNvPr id="7" name="Shape 7"/>
        <xdr:cNvSpPr/>
      </xdr:nvSpPr>
      <xdr:spPr>
        <a:xfrm>
          <a:off x="1799175" y="901675"/>
          <a:ext cx="1443000" cy="3576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18</xdr:row>
      <xdr:rowOff>133350</xdr:rowOff>
    </xdr:from>
    <xdr:ext cx="1457325" cy="381000"/>
    <xdr:sp>
      <xdr:nvSpPr>
        <xdr:cNvPr id="8" name="Shape 8"/>
        <xdr:cNvSpPr/>
      </xdr:nvSpPr>
      <xdr:spPr>
        <a:xfrm>
          <a:off x="1440100" y="1076875"/>
          <a:ext cx="1442100" cy="3645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AD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18</xdr:row>
      <xdr:rowOff>133350</xdr:rowOff>
    </xdr:from>
    <xdr:ext cx="1457325" cy="381000"/>
    <xdr:sp>
      <xdr:nvSpPr>
        <xdr:cNvPr id="9" name="Shape 9"/>
        <xdr:cNvSpPr/>
      </xdr:nvSpPr>
      <xdr:spPr>
        <a:xfrm>
          <a:off x="1440525" y="720600"/>
          <a:ext cx="1438500" cy="3606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19</xdr:row>
      <xdr:rowOff>266700</xdr:rowOff>
    </xdr:from>
    <xdr:ext cx="1457325" cy="381000"/>
    <xdr:sp>
      <xdr:nvSpPr>
        <xdr:cNvPr id="10" name="Shape 10"/>
        <xdr:cNvSpPr/>
      </xdr:nvSpPr>
      <xdr:spPr>
        <a:xfrm>
          <a:off x="2161125" y="538550"/>
          <a:ext cx="1437600" cy="3618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18</xdr:row>
      <xdr:rowOff>133350</xdr:rowOff>
    </xdr:from>
    <xdr:ext cx="1457325" cy="381000"/>
    <xdr:sp>
      <xdr:nvSpPr>
        <xdr:cNvPr id="11" name="Shape 11"/>
        <xdr:cNvSpPr/>
      </xdr:nvSpPr>
      <xdr:spPr>
        <a:xfrm>
          <a:off x="2161125" y="720600"/>
          <a:ext cx="1440000" cy="361200"/>
        </a:xfrm>
        <a:prstGeom prst="roundRect">
          <a:avLst>
            <a:gd fmla="val 16667" name="adj"/>
          </a:avLst>
        </a:prstGeom>
        <a:gradFill>
          <a:gsLst>
            <a:gs pos="0">
              <a:srgbClr val="8C8C8C"/>
            </a:gs>
            <a:gs pos="100000">
              <a:srgbClr val="40404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Armure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18</xdr:row>
      <xdr:rowOff>133350</xdr:rowOff>
    </xdr:from>
    <xdr:ext cx="1457325" cy="381000"/>
    <xdr:sp>
      <xdr:nvSpPr>
        <xdr:cNvPr id="12" name="Shape 12"/>
        <xdr:cNvSpPr/>
      </xdr:nvSpPr>
      <xdr:spPr>
        <a:xfrm>
          <a:off x="2162525" y="1080150"/>
          <a:ext cx="14388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4D29AA"/>
            </a:gs>
            <a:gs pos="100000">
              <a:srgbClr val="1E123D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Rés. Mag.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19</xdr:row>
      <xdr:rowOff>266700</xdr:rowOff>
    </xdr:from>
    <xdr:ext cx="1457325" cy="381000"/>
    <xdr:sp>
      <xdr:nvSpPr>
        <xdr:cNvPr id="13" name="Shape 13"/>
        <xdr:cNvSpPr/>
      </xdr:nvSpPr>
      <xdr:spPr>
        <a:xfrm>
          <a:off x="1800875" y="720875"/>
          <a:ext cx="1441800" cy="3624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D.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19</xdr:row>
      <xdr:rowOff>266700</xdr:rowOff>
    </xdr:from>
    <xdr:ext cx="1457325" cy="381000"/>
    <xdr:sp>
      <xdr:nvSpPr>
        <xdr:cNvPr id="14" name="Shape 14"/>
        <xdr:cNvSpPr/>
      </xdr:nvSpPr>
      <xdr:spPr>
        <a:xfrm>
          <a:off x="1438275" y="717550"/>
          <a:ext cx="14415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Vol de vie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19</xdr:row>
      <xdr:rowOff>266700</xdr:rowOff>
    </xdr:from>
    <xdr:ext cx="1457325" cy="381000"/>
    <xdr:sp>
      <xdr:nvSpPr>
        <xdr:cNvPr id="15" name="Shape 15"/>
        <xdr:cNvSpPr/>
      </xdr:nvSpPr>
      <xdr:spPr>
        <a:xfrm>
          <a:off x="1441450" y="720725"/>
          <a:ext cx="14382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Sapience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19</xdr:row>
      <xdr:rowOff>266700</xdr:rowOff>
    </xdr:from>
    <xdr:ext cx="1457325" cy="381000"/>
    <xdr:sp>
      <xdr:nvSpPr>
        <xdr:cNvPr id="16" name="Shape 16"/>
        <xdr:cNvSpPr/>
      </xdr:nvSpPr>
      <xdr:spPr>
        <a:xfrm>
          <a:off x="1082675" y="717550"/>
          <a:ext cx="1436700" cy="365100"/>
        </a:xfrm>
        <a:prstGeom prst="roundRect">
          <a:avLst>
            <a:gd fmla="val 16667" name="adj"/>
          </a:avLst>
        </a:prstGeom>
        <a:gradFill>
          <a:gsLst>
            <a:gs pos="0">
              <a:srgbClr val="F48108"/>
            </a:gs>
            <a:gs pos="100000">
              <a:srgbClr val="703D08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Omnivamp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19</xdr:row>
      <xdr:rowOff>266700</xdr:rowOff>
    </xdr:from>
    <xdr:ext cx="1457325" cy="381000"/>
    <xdr:sp>
      <xdr:nvSpPr>
        <xdr:cNvPr id="17" name="Shape 17"/>
        <xdr:cNvSpPr/>
      </xdr:nvSpPr>
      <xdr:spPr>
        <a:xfrm>
          <a:off x="1083725" y="358775"/>
          <a:ext cx="1434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2F2F2"/>
            </a:gs>
            <a:gs pos="100000">
              <a:srgbClr val="A6A6A6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Tout Reset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5</xdr:row>
      <xdr:rowOff>238125</xdr:rowOff>
    </xdr:from>
    <xdr:ext cx="1457325" cy="381000"/>
    <xdr:sp>
      <xdr:nvSpPr>
        <xdr:cNvPr id="18" name="Shape 18"/>
        <xdr:cNvSpPr/>
      </xdr:nvSpPr>
      <xdr:spPr>
        <a:xfrm>
          <a:off x="1438400" y="719975"/>
          <a:ext cx="14382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F5D0D0"/>
            </a:gs>
            <a:gs pos="100000">
              <a:srgbClr val="D96868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Soin de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6</xdr:row>
      <xdr:rowOff>342900</xdr:rowOff>
    </xdr:from>
    <xdr:ext cx="1457325" cy="381000"/>
    <xdr:sp>
      <xdr:nvSpPr>
        <xdr:cNvPr id="19" name="Shape 19"/>
        <xdr:cNvSpPr/>
      </xdr:nvSpPr>
      <xdr:spPr>
        <a:xfrm>
          <a:off x="2147025" y="720925"/>
          <a:ext cx="1440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Gain Bouclier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8</xdr:row>
      <xdr:rowOff>66675</xdr:rowOff>
    </xdr:from>
    <xdr:ext cx="1457325" cy="381000"/>
    <xdr:sp>
      <xdr:nvSpPr>
        <xdr:cNvPr id="20" name="Shape 20"/>
        <xdr:cNvSpPr/>
      </xdr:nvSpPr>
      <xdr:spPr>
        <a:xfrm>
          <a:off x="1799175" y="900325"/>
          <a:ext cx="14373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Récup.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17</xdr:row>
      <xdr:rowOff>390525</xdr:rowOff>
    </xdr:from>
    <xdr:ext cx="1457325" cy="381000"/>
    <xdr:sp>
      <xdr:nvSpPr>
        <xdr:cNvPr id="21" name="Shape 21"/>
        <xdr:cNvSpPr/>
      </xdr:nvSpPr>
      <xdr:spPr>
        <a:xfrm>
          <a:off x="3599325" y="1800250"/>
          <a:ext cx="1440600" cy="3588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Attaque (Base)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409575</xdr:colOff>
      <xdr:row>11</xdr:row>
      <xdr:rowOff>47625</xdr:rowOff>
    </xdr:from>
    <xdr:ext cx="3114675" cy="2571750"/>
    <xdr:sp>
      <xdr:nvSpPr>
        <xdr:cNvPr id="22" name="Shape 22"/>
        <xdr:cNvSpPr/>
      </xdr:nvSpPr>
      <xdr:spPr>
        <a:xfrm>
          <a:off x="3962150" y="1096425"/>
          <a:ext cx="3937200" cy="3243000"/>
        </a:xfrm>
        <a:prstGeom prst="star7">
          <a:avLst>
            <a:gd fmla="val 34601" name="adj"/>
            <a:gd fmla="val 102572" name="hf"/>
            <a:gd fmla="val 105210" name="vf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800"/>
            <a:t>Flétrissement </a:t>
          </a:r>
          <a:br>
            <a:rPr lang="en-US" sz="1800"/>
          </a:br>
          <a:r>
            <a:rPr lang="en-US" sz="1800"/>
            <a:t>de la rose</a:t>
          </a:r>
          <a:endParaRPr sz="2000"/>
        </a:p>
      </xdr:txBody>
    </xdr:sp>
    <xdr:clientData fLocksWithSheet="0"/>
  </xdr:oneCellAnchor>
  <xdr:oneCellAnchor>
    <xdr:from>
      <xdr:col>11</xdr:col>
      <xdr:colOff>990600</xdr:colOff>
      <xdr:row>12</xdr:row>
      <xdr:rowOff>219075</xdr:rowOff>
    </xdr:from>
    <xdr:ext cx="2133600" cy="2076450"/>
    <xdr:sp>
      <xdr:nvSpPr>
        <xdr:cNvPr id="23" name="Shape 23"/>
        <xdr:cNvSpPr/>
      </xdr:nvSpPr>
      <xdr:spPr>
        <a:xfrm>
          <a:off x="4200175" y="719575"/>
          <a:ext cx="2112300" cy="2052900"/>
        </a:xfrm>
        <a:prstGeom prst="flowChartOr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Attaque Sournoise </a:t>
          </a:r>
          <a:endParaRPr b="1"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(15 Mana)</a:t>
          </a:r>
          <a:endParaRPr b="1" sz="1400"/>
        </a:p>
      </xdr:txBody>
    </xdr:sp>
    <xdr:clientData fLocksWithSheet="0"/>
  </xdr:oneCellAnchor>
  <xdr:oneCellAnchor>
    <xdr:from>
      <xdr:col>12</xdr:col>
      <xdr:colOff>2209800</xdr:colOff>
      <xdr:row>11</xdr:row>
      <xdr:rowOff>276225</xdr:rowOff>
    </xdr:from>
    <xdr:ext cx="3857625" cy="2514600"/>
    <xdr:sp>
      <xdr:nvSpPr>
        <xdr:cNvPr id="24" name="Shape 24"/>
        <xdr:cNvSpPr/>
      </xdr:nvSpPr>
      <xdr:spPr>
        <a:xfrm>
          <a:off x="3079550" y="1106350"/>
          <a:ext cx="3838104" cy="2499228"/>
        </a:xfrm>
        <a:prstGeom prst="cloud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Fondu au noir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(40 Mana, CD 3)</a:t>
          </a:r>
          <a:endParaRPr sz="1400"/>
        </a:p>
      </xdr:txBody>
    </xdr:sp>
    <xdr:clientData fLocksWithSheet="0"/>
  </xdr:oneCellAnchor>
  <xdr:oneCellAnchor>
    <xdr:from>
      <xdr:col>8</xdr:col>
      <xdr:colOff>104775</xdr:colOff>
      <xdr:row>9</xdr:row>
      <xdr:rowOff>171450</xdr:rowOff>
    </xdr:from>
    <xdr:ext cx="1609725" cy="571500"/>
    <xdr:sp>
      <xdr:nvSpPr>
        <xdr:cNvPr id="25" name="Shape 25"/>
        <xdr:cNvSpPr/>
      </xdr:nvSpPr>
      <xdr:spPr>
        <a:xfrm>
          <a:off x="2779925" y="694975"/>
          <a:ext cx="1588500" cy="5559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Attaque furtive</a:t>
          </a:r>
          <a:endParaRPr sz="1400"/>
        </a:p>
      </xdr:txBody>
    </xdr:sp>
    <xdr:clientData fLocksWithSheet="0"/>
  </xdr:oneCellAnchor>
  <xdr:oneCellAnchor>
    <xdr:from>
      <xdr:col>19</xdr:col>
      <xdr:colOff>1076325</xdr:colOff>
      <xdr:row>10</xdr:row>
      <xdr:rowOff>257175</xdr:rowOff>
    </xdr:from>
    <xdr:ext cx="12811125" cy="4124325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1</xdr:row>
      <xdr:rowOff>123825</xdr:rowOff>
    </xdr:from>
    <xdr:ext cx="1457325" cy="371475"/>
    <xdr:sp>
      <xdr:nvSpPr>
        <xdr:cNvPr id="3" name="Shape 3"/>
        <xdr:cNvSpPr/>
      </xdr:nvSpPr>
      <xdr:spPr>
        <a:xfrm>
          <a:off x="2521775" y="542825"/>
          <a:ext cx="1436700" cy="3567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physiques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</xdr:colOff>
      <xdr:row>2</xdr:row>
      <xdr:rowOff>314325</xdr:rowOff>
    </xdr:from>
    <xdr:ext cx="1457325" cy="381000"/>
    <xdr:sp>
      <xdr:nvSpPr>
        <xdr:cNvPr id="4" name="Shape 4"/>
        <xdr:cNvSpPr/>
      </xdr:nvSpPr>
      <xdr:spPr>
        <a:xfrm>
          <a:off x="2161900" y="625625"/>
          <a:ext cx="1438800" cy="3657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magiques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</xdr:colOff>
      <xdr:row>4</xdr:row>
      <xdr:rowOff>95250</xdr:rowOff>
    </xdr:from>
    <xdr:ext cx="1457325" cy="381000"/>
    <xdr:sp>
      <xdr:nvSpPr>
        <xdr:cNvPr id="5" name="Shape 5"/>
        <xdr:cNvSpPr/>
      </xdr:nvSpPr>
      <xdr:spPr>
        <a:xfrm>
          <a:off x="1800875" y="719575"/>
          <a:ext cx="1435200" cy="3660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bruts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17</xdr:row>
      <xdr:rowOff>133350</xdr:rowOff>
    </xdr:from>
    <xdr:ext cx="1466850" cy="381000"/>
    <xdr:sp>
      <xdr:nvSpPr>
        <xdr:cNvPr id="6" name="Shape 6"/>
        <xdr:cNvSpPr/>
      </xdr:nvSpPr>
      <xdr:spPr>
        <a:xfrm>
          <a:off x="1797450" y="1258550"/>
          <a:ext cx="1447500" cy="358500"/>
        </a:xfrm>
        <a:prstGeom prst="roundRect">
          <a:avLst>
            <a:gd fmla="val 16667" name="adj"/>
          </a:avLst>
        </a:prstGeom>
        <a:gradFill>
          <a:gsLst>
            <a:gs pos="0">
              <a:srgbClr val="DCECD5"/>
            </a:gs>
            <a:gs pos="100000">
              <a:srgbClr val="92BC81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17</xdr:row>
      <xdr:rowOff>133350</xdr:rowOff>
    </xdr:from>
    <xdr:ext cx="1457325" cy="381000"/>
    <xdr:sp>
      <xdr:nvSpPr>
        <xdr:cNvPr id="7" name="Shape 7"/>
        <xdr:cNvSpPr/>
      </xdr:nvSpPr>
      <xdr:spPr>
        <a:xfrm>
          <a:off x="1799175" y="901675"/>
          <a:ext cx="1443000" cy="3576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17</xdr:row>
      <xdr:rowOff>133350</xdr:rowOff>
    </xdr:from>
    <xdr:ext cx="1457325" cy="381000"/>
    <xdr:sp>
      <xdr:nvSpPr>
        <xdr:cNvPr id="8" name="Shape 8"/>
        <xdr:cNvSpPr/>
      </xdr:nvSpPr>
      <xdr:spPr>
        <a:xfrm>
          <a:off x="1440100" y="1076875"/>
          <a:ext cx="1442100" cy="3645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AD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17</xdr:row>
      <xdr:rowOff>133350</xdr:rowOff>
    </xdr:from>
    <xdr:ext cx="1457325" cy="381000"/>
    <xdr:sp>
      <xdr:nvSpPr>
        <xdr:cNvPr id="9" name="Shape 9"/>
        <xdr:cNvSpPr/>
      </xdr:nvSpPr>
      <xdr:spPr>
        <a:xfrm>
          <a:off x="1440525" y="720600"/>
          <a:ext cx="1438500" cy="3606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18</xdr:row>
      <xdr:rowOff>266700</xdr:rowOff>
    </xdr:from>
    <xdr:ext cx="1457325" cy="381000"/>
    <xdr:sp>
      <xdr:nvSpPr>
        <xdr:cNvPr id="10" name="Shape 10"/>
        <xdr:cNvSpPr/>
      </xdr:nvSpPr>
      <xdr:spPr>
        <a:xfrm>
          <a:off x="2161125" y="538550"/>
          <a:ext cx="1437600" cy="3618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17</xdr:row>
      <xdr:rowOff>133350</xdr:rowOff>
    </xdr:from>
    <xdr:ext cx="1457325" cy="381000"/>
    <xdr:sp>
      <xdr:nvSpPr>
        <xdr:cNvPr id="11" name="Shape 11"/>
        <xdr:cNvSpPr/>
      </xdr:nvSpPr>
      <xdr:spPr>
        <a:xfrm>
          <a:off x="2161125" y="720600"/>
          <a:ext cx="1440000" cy="361200"/>
        </a:xfrm>
        <a:prstGeom prst="roundRect">
          <a:avLst>
            <a:gd fmla="val 16667" name="adj"/>
          </a:avLst>
        </a:prstGeom>
        <a:gradFill>
          <a:gsLst>
            <a:gs pos="0">
              <a:srgbClr val="8C8C8C"/>
            </a:gs>
            <a:gs pos="100000">
              <a:srgbClr val="40404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Armure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17</xdr:row>
      <xdr:rowOff>133350</xdr:rowOff>
    </xdr:from>
    <xdr:ext cx="1457325" cy="381000"/>
    <xdr:sp>
      <xdr:nvSpPr>
        <xdr:cNvPr id="12" name="Shape 12"/>
        <xdr:cNvSpPr/>
      </xdr:nvSpPr>
      <xdr:spPr>
        <a:xfrm>
          <a:off x="2162525" y="1080150"/>
          <a:ext cx="14388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4D29AA"/>
            </a:gs>
            <a:gs pos="100000">
              <a:srgbClr val="1E123D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Rés. Mag.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18</xdr:row>
      <xdr:rowOff>266700</xdr:rowOff>
    </xdr:from>
    <xdr:ext cx="1457325" cy="381000"/>
    <xdr:sp>
      <xdr:nvSpPr>
        <xdr:cNvPr id="13" name="Shape 13"/>
        <xdr:cNvSpPr/>
      </xdr:nvSpPr>
      <xdr:spPr>
        <a:xfrm>
          <a:off x="1800875" y="720875"/>
          <a:ext cx="1441800" cy="3624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D.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18</xdr:row>
      <xdr:rowOff>266700</xdr:rowOff>
    </xdr:from>
    <xdr:ext cx="1457325" cy="381000"/>
    <xdr:sp>
      <xdr:nvSpPr>
        <xdr:cNvPr id="14" name="Shape 14"/>
        <xdr:cNvSpPr/>
      </xdr:nvSpPr>
      <xdr:spPr>
        <a:xfrm>
          <a:off x="1438275" y="717550"/>
          <a:ext cx="14415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Vol de vie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18</xdr:row>
      <xdr:rowOff>266700</xdr:rowOff>
    </xdr:from>
    <xdr:ext cx="1457325" cy="381000"/>
    <xdr:sp>
      <xdr:nvSpPr>
        <xdr:cNvPr id="15" name="Shape 15"/>
        <xdr:cNvSpPr/>
      </xdr:nvSpPr>
      <xdr:spPr>
        <a:xfrm>
          <a:off x="1441450" y="720725"/>
          <a:ext cx="14382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Sapience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18</xdr:row>
      <xdr:rowOff>266700</xdr:rowOff>
    </xdr:from>
    <xdr:ext cx="1457325" cy="381000"/>
    <xdr:sp>
      <xdr:nvSpPr>
        <xdr:cNvPr id="16" name="Shape 16"/>
        <xdr:cNvSpPr/>
      </xdr:nvSpPr>
      <xdr:spPr>
        <a:xfrm>
          <a:off x="1082675" y="717550"/>
          <a:ext cx="1436700" cy="365100"/>
        </a:xfrm>
        <a:prstGeom prst="roundRect">
          <a:avLst>
            <a:gd fmla="val 16667" name="adj"/>
          </a:avLst>
        </a:prstGeom>
        <a:gradFill>
          <a:gsLst>
            <a:gs pos="0">
              <a:srgbClr val="F48108"/>
            </a:gs>
            <a:gs pos="100000">
              <a:srgbClr val="703D08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Omnivamp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18</xdr:row>
      <xdr:rowOff>266700</xdr:rowOff>
    </xdr:from>
    <xdr:ext cx="1457325" cy="381000"/>
    <xdr:sp>
      <xdr:nvSpPr>
        <xdr:cNvPr id="17" name="Shape 17"/>
        <xdr:cNvSpPr/>
      </xdr:nvSpPr>
      <xdr:spPr>
        <a:xfrm>
          <a:off x="1083725" y="358775"/>
          <a:ext cx="1434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2F2F2"/>
            </a:gs>
            <a:gs pos="100000">
              <a:srgbClr val="A6A6A6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Tout Reset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</xdr:colOff>
      <xdr:row>5</xdr:row>
      <xdr:rowOff>257175</xdr:rowOff>
    </xdr:from>
    <xdr:ext cx="1457325" cy="381000"/>
    <xdr:sp>
      <xdr:nvSpPr>
        <xdr:cNvPr id="18" name="Shape 18"/>
        <xdr:cNvSpPr/>
      </xdr:nvSpPr>
      <xdr:spPr>
        <a:xfrm>
          <a:off x="1438400" y="719975"/>
          <a:ext cx="14382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F5D0D0"/>
            </a:gs>
            <a:gs pos="100000">
              <a:srgbClr val="D96868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Soin de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</xdr:colOff>
      <xdr:row>7</xdr:row>
      <xdr:rowOff>38100</xdr:rowOff>
    </xdr:from>
    <xdr:ext cx="1457325" cy="381000"/>
    <xdr:sp>
      <xdr:nvSpPr>
        <xdr:cNvPr id="19" name="Shape 19"/>
        <xdr:cNvSpPr/>
      </xdr:nvSpPr>
      <xdr:spPr>
        <a:xfrm>
          <a:off x="2147025" y="720925"/>
          <a:ext cx="1440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Gain Bouclier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</xdr:colOff>
      <xdr:row>8</xdr:row>
      <xdr:rowOff>200025</xdr:rowOff>
    </xdr:from>
    <xdr:ext cx="1457325" cy="381000"/>
    <xdr:sp>
      <xdr:nvSpPr>
        <xdr:cNvPr id="20" name="Shape 20"/>
        <xdr:cNvSpPr/>
      </xdr:nvSpPr>
      <xdr:spPr>
        <a:xfrm>
          <a:off x="1799175" y="900325"/>
          <a:ext cx="14373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Récup.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57150</xdr:colOff>
      <xdr:row>4</xdr:row>
      <xdr:rowOff>19050</xdr:rowOff>
    </xdr:from>
    <xdr:ext cx="1457325" cy="381000"/>
    <xdr:sp>
      <xdr:nvSpPr>
        <xdr:cNvPr id="21" name="Shape 21"/>
        <xdr:cNvSpPr/>
      </xdr:nvSpPr>
      <xdr:spPr>
        <a:xfrm>
          <a:off x="3599325" y="1800250"/>
          <a:ext cx="1440600" cy="3588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Attaque (Base)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10</xdr:col>
      <xdr:colOff>542925</xdr:colOff>
      <xdr:row>3</xdr:row>
      <xdr:rowOff>133350</xdr:rowOff>
    </xdr:from>
    <xdr:ext cx="3714750" cy="923925"/>
    <xdr:sp>
      <xdr:nvSpPr>
        <xdr:cNvPr id="26" name="Shape 26"/>
        <xdr:cNvSpPr/>
      </xdr:nvSpPr>
      <xdr:spPr>
        <a:xfrm>
          <a:off x="4081150" y="1066675"/>
          <a:ext cx="3699300" cy="9024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passif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1428750</xdr:colOff>
      <xdr:row>0</xdr:row>
      <xdr:rowOff>257175</xdr:rowOff>
    </xdr:from>
    <xdr:ext cx="1457325" cy="371475"/>
    <xdr:sp>
      <xdr:nvSpPr>
        <xdr:cNvPr id="3" name="Shape 3"/>
        <xdr:cNvSpPr/>
      </xdr:nvSpPr>
      <xdr:spPr>
        <a:xfrm>
          <a:off x="2521775" y="542825"/>
          <a:ext cx="1436700" cy="3567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physiques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1428750</xdr:colOff>
      <xdr:row>1</xdr:row>
      <xdr:rowOff>342900</xdr:rowOff>
    </xdr:from>
    <xdr:ext cx="1457325" cy="381000"/>
    <xdr:sp>
      <xdr:nvSpPr>
        <xdr:cNvPr id="4" name="Shape 4"/>
        <xdr:cNvSpPr/>
      </xdr:nvSpPr>
      <xdr:spPr>
        <a:xfrm>
          <a:off x="2161900" y="625625"/>
          <a:ext cx="1438800" cy="3657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magiques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1428750</xdr:colOff>
      <xdr:row>3</xdr:row>
      <xdr:rowOff>57150</xdr:rowOff>
    </xdr:from>
    <xdr:ext cx="1457325" cy="381000"/>
    <xdr:sp>
      <xdr:nvSpPr>
        <xdr:cNvPr id="5" name="Shape 5"/>
        <xdr:cNvSpPr/>
      </xdr:nvSpPr>
      <xdr:spPr>
        <a:xfrm>
          <a:off x="1800875" y="719575"/>
          <a:ext cx="1435200" cy="3660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bruts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17</xdr:row>
      <xdr:rowOff>133350</xdr:rowOff>
    </xdr:from>
    <xdr:ext cx="1466850" cy="381000"/>
    <xdr:sp>
      <xdr:nvSpPr>
        <xdr:cNvPr id="6" name="Shape 6"/>
        <xdr:cNvSpPr/>
      </xdr:nvSpPr>
      <xdr:spPr>
        <a:xfrm>
          <a:off x="1797450" y="1258550"/>
          <a:ext cx="1447500" cy="358500"/>
        </a:xfrm>
        <a:prstGeom prst="roundRect">
          <a:avLst>
            <a:gd fmla="val 16667" name="adj"/>
          </a:avLst>
        </a:prstGeom>
        <a:gradFill>
          <a:gsLst>
            <a:gs pos="0">
              <a:srgbClr val="DCECD5"/>
            </a:gs>
            <a:gs pos="100000">
              <a:srgbClr val="92BC81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17</xdr:row>
      <xdr:rowOff>133350</xdr:rowOff>
    </xdr:from>
    <xdr:ext cx="1457325" cy="381000"/>
    <xdr:sp>
      <xdr:nvSpPr>
        <xdr:cNvPr id="7" name="Shape 7"/>
        <xdr:cNvSpPr/>
      </xdr:nvSpPr>
      <xdr:spPr>
        <a:xfrm>
          <a:off x="1799175" y="901675"/>
          <a:ext cx="1443000" cy="3576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17</xdr:row>
      <xdr:rowOff>133350</xdr:rowOff>
    </xdr:from>
    <xdr:ext cx="1457325" cy="381000"/>
    <xdr:sp>
      <xdr:nvSpPr>
        <xdr:cNvPr id="8" name="Shape 8"/>
        <xdr:cNvSpPr/>
      </xdr:nvSpPr>
      <xdr:spPr>
        <a:xfrm>
          <a:off x="1440100" y="1076875"/>
          <a:ext cx="1442100" cy="3645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AD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17</xdr:row>
      <xdr:rowOff>133350</xdr:rowOff>
    </xdr:from>
    <xdr:ext cx="1457325" cy="381000"/>
    <xdr:sp>
      <xdr:nvSpPr>
        <xdr:cNvPr id="9" name="Shape 9"/>
        <xdr:cNvSpPr/>
      </xdr:nvSpPr>
      <xdr:spPr>
        <a:xfrm>
          <a:off x="1440525" y="720600"/>
          <a:ext cx="1438500" cy="3606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18</xdr:row>
      <xdr:rowOff>266700</xdr:rowOff>
    </xdr:from>
    <xdr:ext cx="1457325" cy="381000"/>
    <xdr:sp>
      <xdr:nvSpPr>
        <xdr:cNvPr id="10" name="Shape 10"/>
        <xdr:cNvSpPr/>
      </xdr:nvSpPr>
      <xdr:spPr>
        <a:xfrm>
          <a:off x="2161125" y="538550"/>
          <a:ext cx="1437600" cy="3618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17</xdr:row>
      <xdr:rowOff>133350</xdr:rowOff>
    </xdr:from>
    <xdr:ext cx="1457325" cy="381000"/>
    <xdr:sp>
      <xdr:nvSpPr>
        <xdr:cNvPr id="11" name="Shape 11"/>
        <xdr:cNvSpPr/>
      </xdr:nvSpPr>
      <xdr:spPr>
        <a:xfrm>
          <a:off x="2161125" y="720600"/>
          <a:ext cx="1440000" cy="361200"/>
        </a:xfrm>
        <a:prstGeom prst="roundRect">
          <a:avLst>
            <a:gd fmla="val 16667" name="adj"/>
          </a:avLst>
        </a:prstGeom>
        <a:gradFill>
          <a:gsLst>
            <a:gs pos="0">
              <a:srgbClr val="8C8C8C"/>
            </a:gs>
            <a:gs pos="100000">
              <a:srgbClr val="40404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Armure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17</xdr:row>
      <xdr:rowOff>133350</xdr:rowOff>
    </xdr:from>
    <xdr:ext cx="1457325" cy="381000"/>
    <xdr:sp>
      <xdr:nvSpPr>
        <xdr:cNvPr id="12" name="Shape 12"/>
        <xdr:cNvSpPr/>
      </xdr:nvSpPr>
      <xdr:spPr>
        <a:xfrm>
          <a:off x="2162525" y="1080150"/>
          <a:ext cx="14388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4D29AA"/>
            </a:gs>
            <a:gs pos="100000">
              <a:srgbClr val="1E123D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Rés. Mag.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18</xdr:row>
      <xdr:rowOff>266700</xdr:rowOff>
    </xdr:from>
    <xdr:ext cx="1457325" cy="381000"/>
    <xdr:sp>
      <xdr:nvSpPr>
        <xdr:cNvPr id="13" name="Shape 13"/>
        <xdr:cNvSpPr/>
      </xdr:nvSpPr>
      <xdr:spPr>
        <a:xfrm>
          <a:off x="1800875" y="720875"/>
          <a:ext cx="1441800" cy="3624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D.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18</xdr:row>
      <xdr:rowOff>266700</xdr:rowOff>
    </xdr:from>
    <xdr:ext cx="1457325" cy="381000"/>
    <xdr:sp>
      <xdr:nvSpPr>
        <xdr:cNvPr id="14" name="Shape 14"/>
        <xdr:cNvSpPr/>
      </xdr:nvSpPr>
      <xdr:spPr>
        <a:xfrm>
          <a:off x="1438275" y="717550"/>
          <a:ext cx="14415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Vol de vie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18</xdr:row>
      <xdr:rowOff>266700</xdr:rowOff>
    </xdr:from>
    <xdr:ext cx="1457325" cy="381000"/>
    <xdr:sp>
      <xdr:nvSpPr>
        <xdr:cNvPr id="15" name="Shape 15"/>
        <xdr:cNvSpPr/>
      </xdr:nvSpPr>
      <xdr:spPr>
        <a:xfrm>
          <a:off x="1441450" y="720725"/>
          <a:ext cx="14382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Sapience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18</xdr:row>
      <xdr:rowOff>266700</xdr:rowOff>
    </xdr:from>
    <xdr:ext cx="1457325" cy="381000"/>
    <xdr:sp>
      <xdr:nvSpPr>
        <xdr:cNvPr id="16" name="Shape 16"/>
        <xdr:cNvSpPr/>
      </xdr:nvSpPr>
      <xdr:spPr>
        <a:xfrm>
          <a:off x="1082675" y="717550"/>
          <a:ext cx="1436700" cy="365100"/>
        </a:xfrm>
        <a:prstGeom prst="roundRect">
          <a:avLst>
            <a:gd fmla="val 16667" name="adj"/>
          </a:avLst>
        </a:prstGeom>
        <a:gradFill>
          <a:gsLst>
            <a:gs pos="0">
              <a:srgbClr val="F48108"/>
            </a:gs>
            <a:gs pos="100000">
              <a:srgbClr val="703D08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Omnivamp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18</xdr:row>
      <xdr:rowOff>266700</xdr:rowOff>
    </xdr:from>
    <xdr:ext cx="1457325" cy="381000"/>
    <xdr:sp>
      <xdr:nvSpPr>
        <xdr:cNvPr id="17" name="Shape 17"/>
        <xdr:cNvSpPr/>
      </xdr:nvSpPr>
      <xdr:spPr>
        <a:xfrm>
          <a:off x="1083725" y="358775"/>
          <a:ext cx="1434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2F2F2"/>
            </a:gs>
            <a:gs pos="100000">
              <a:srgbClr val="A6A6A6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Tout Reset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1428750</xdr:colOff>
      <xdr:row>4</xdr:row>
      <xdr:rowOff>152400</xdr:rowOff>
    </xdr:from>
    <xdr:ext cx="1457325" cy="381000"/>
    <xdr:sp>
      <xdr:nvSpPr>
        <xdr:cNvPr id="18" name="Shape 18"/>
        <xdr:cNvSpPr/>
      </xdr:nvSpPr>
      <xdr:spPr>
        <a:xfrm>
          <a:off x="1438400" y="719975"/>
          <a:ext cx="14382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F5D0D0"/>
            </a:gs>
            <a:gs pos="100000">
              <a:srgbClr val="D96868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Soin de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1428750</xdr:colOff>
      <xdr:row>5</xdr:row>
      <xdr:rowOff>247650</xdr:rowOff>
    </xdr:from>
    <xdr:ext cx="1457325" cy="381000"/>
    <xdr:sp>
      <xdr:nvSpPr>
        <xdr:cNvPr id="19" name="Shape 19"/>
        <xdr:cNvSpPr/>
      </xdr:nvSpPr>
      <xdr:spPr>
        <a:xfrm>
          <a:off x="2147025" y="720925"/>
          <a:ext cx="1440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Gain Bouclier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7</xdr:col>
      <xdr:colOff>1428750</xdr:colOff>
      <xdr:row>6</xdr:row>
      <xdr:rowOff>342900</xdr:rowOff>
    </xdr:from>
    <xdr:ext cx="1457325" cy="381000"/>
    <xdr:sp>
      <xdr:nvSpPr>
        <xdr:cNvPr id="20" name="Shape 20"/>
        <xdr:cNvSpPr/>
      </xdr:nvSpPr>
      <xdr:spPr>
        <a:xfrm>
          <a:off x="1799175" y="900325"/>
          <a:ext cx="14373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Récup.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285750</xdr:colOff>
      <xdr:row>9</xdr:row>
      <xdr:rowOff>228600</xdr:rowOff>
    </xdr:from>
    <xdr:ext cx="1457325" cy="381000"/>
    <xdr:sp>
      <xdr:nvSpPr>
        <xdr:cNvPr id="21" name="Shape 21"/>
        <xdr:cNvSpPr/>
      </xdr:nvSpPr>
      <xdr:spPr>
        <a:xfrm>
          <a:off x="3544575" y="1723600"/>
          <a:ext cx="1440600" cy="3588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Attaque (Base)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11</xdr:col>
      <xdr:colOff>266700</xdr:colOff>
      <xdr:row>8</xdr:row>
      <xdr:rowOff>304800</xdr:rowOff>
    </xdr:from>
    <xdr:ext cx="3648075" cy="1809750"/>
    <xdr:grpSp>
      <xdr:nvGrpSpPr>
        <xdr:cNvPr id="2" name="Shape 2" title="Dessin"/>
        <xdr:cNvGrpSpPr/>
      </xdr:nvGrpSpPr>
      <xdr:grpSpPr>
        <a:xfrm>
          <a:off x="2466175" y="1160350"/>
          <a:ext cx="3629825" cy="1795200"/>
          <a:chOff x="2466175" y="1160350"/>
          <a:chExt cx="3629825" cy="1795200"/>
        </a:xfrm>
      </xdr:grpSpPr>
      <xdr:sp>
        <xdr:nvSpPr>
          <xdr:cNvPr id="27" name="Shape 27"/>
          <xdr:cNvSpPr/>
        </xdr:nvSpPr>
        <xdr:spPr>
          <a:xfrm>
            <a:off x="2466175" y="1160350"/>
            <a:ext cx="1765200" cy="1795200"/>
          </a:xfrm>
          <a:prstGeom prst="curvedRightArrow">
            <a:avLst>
              <a:gd fmla="val 25000" name="adj1"/>
              <a:gd fmla="val 50000" name="adj2"/>
              <a:gd fmla="val 25000" name="adj3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8" name="Shape 28"/>
          <xdr:cNvSpPr/>
        </xdr:nvSpPr>
        <xdr:spPr>
          <a:xfrm flipH="1">
            <a:off x="4330800" y="1160350"/>
            <a:ext cx="1765200" cy="1795200"/>
          </a:xfrm>
          <a:prstGeom prst="curvedRightArrow">
            <a:avLst>
              <a:gd fmla="val 25000" name="adj1"/>
              <a:gd fmla="val 50000" name="adj2"/>
              <a:gd fmla="val 25000" name="adj3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9" name="Shape 29"/>
          <xdr:cNvSpPr txBox="1"/>
        </xdr:nvSpPr>
        <xdr:spPr>
          <a:xfrm>
            <a:off x="2991800" y="1378525"/>
            <a:ext cx="2568600" cy="9522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700"/>
              <a:t>Maîtrise du pugilat</a:t>
            </a:r>
            <a:br>
              <a:rPr b="1" lang="en-US" sz="1700"/>
            </a:br>
            <a:r>
              <a:rPr b="1" lang="en-US" sz="1700"/>
              <a:t>(30 Mana)</a:t>
            </a:r>
            <a:endParaRPr b="1" sz="1700"/>
          </a:p>
        </xdr:txBody>
      </xdr:sp>
    </xdr:grpSp>
    <xdr:clientData fLocksWithSheet="0"/>
  </xdr:oneCellAnchor>
  <xdr:oneCellAnchor>
    <xdr:from>
      <xdr:col>11</xdr:col>
      <xdr:colOff>352425</xdr:colOff>
      <xdr:row>4</xdr:row>
      <xdr:rowOff>304800</xdr:rowOff>
    </xdr:from>
    <xdr:ext cx="3457575" cy="1409700"/>
    <xdr:sp>
      <xdr:nvSpPr>
        <xdr:cNvPr id="30" name="Shape 30"/>
        <xdr:cNvSpPr/>
      </xdr:nvSpPr>
      <xdr:spPr>
        <a:xfrm>
          <a:off x="2962050" y="1120675"/>
          <a:ext cx="3590100" cy="14580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700"/>
            <a:t>Passif : Voie de l’ours</a:t>
          </a:r>
          <a:endParaRPr sz="1700"/>
        </a:p>
      </xdr:txBody>
    </xdr:sp>
    <xdr:clientData fLocksWithSheet="0"/>
  </xdr:oneCellAnchor>
  <xdr:oneCellAnchor>
    <xdr:from>
      <xdr:col>14</xdr:col>
      <xdr:colOff>142875</xdr:colOff>
      <xdr:row>3</xdr:row>
      <xdr:rowOff>361950</xdr:rowOff>
    </xdr:from>
    <xdr:ext cx="2105025" cy="2857500"/>
    <xdr:grpSp>
      <xdr:nvGrpSpPr>
        <xdr:cNvPr id="2" name="Shape 2" title="Dessin"/>
        <xdr:cNvGrpSpPr/>
      </xdr:nvGrpSpPr>
      <xdr:grpSpPr>
        <a:xfrm>
          <a:off x="2321375" y="951825"/>
          <a:ext cx="1617900" cy="2175725"/>
          <a:chOff x="2321375" y="951825"/>
          <a:chExt cx="1617900" cy="2175725"/>
        </a:xfrm>
      </xdr:grpSpPr>
      <xdr:sp>
        <xdr:nvSpPr>
          <xdr:cNvPr id="31" name="Shape 31"/>
          <xdr:cNvSpPr/>
        </xdr:nvSpPr>
        <xdr:spPr>
          <a:xfrm>
            <a:off x="2321375" y="1565450"/>
            <a:ext cx="1617900" cy="1562100"/>
          </a:xfrm>
          <a:prstGeom prst="flowChartSummingJunction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2" name="Shape 32"/>
          <xdr:cNvSpPr/>
        </xdr:nvSpPr>
        <xdr:spPr>
          <a:xfrm>
            <a:off x="2507375" y="951825"/>
            <a:ext cx="1245900" cy="1308000"/>
          </a:xfrm>
          <a:prstGeom prst="can">
            <a:avLst>
              <a:gd fmla="val 25000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Écrasement</a:t>
            </a:r>
            <a:endParaRPr sz="12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200"/>
              <a:t>50 Mana</a:t>
            </a:r>
            <a:br>
              <a:rPr lang="en-US" sz="1200"/>
            </a:br>
            <a:r>
              <a:rPr lang="en-US" sz="1200"/>
              <a:t>CD 3</a:t>
            </a:r>
            <a:endParaRPr sz="1200"/>
          </a:p>
        </xdr:txBody>
      </xdr:sp>
    </xdr:grpSp>
    <xdr:clientData fLocksWithSheet="0"/>
  </xdr:oneCellAnchor>
  <xdr:oneCellAnchor>
    <xdr:from>
      <xdr:col>9</xdr:col>
      <xdr:colOff>152400</xdr:colOff>
      <xdr:row>12</xdr:row>
      <xdr:rowOff>152400</xdr:rowOff>
    </xdr:from>
    <xdr:ext cx="1666875" cy="438150"/>
    <xdr:sp>
      <xdr:nvSpPr>
        <xdr:cNvPr id="33" name="Shape 33"/>
        <xdr:cNvSpPr/>
      </xdr:nvSpPr>
      <xdr:spPr>
        <a:xfrm>
          <a:off x="2045250" y="456700"/>
          <a:ext cx="1648200" cy="4170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Attaque furtive</a:t>
          </a:r>
          <a:endParaRPr sz="1400"/>
        </a:p>
      </xdr:txBody>
    </xdr:sp>
    <xdr:clientData fLocksWithSheet="0"/>
  </xdr:oneCellAnchor>
  <xdr:oneCellAnchor>
    <xdr:from>
      <xdr:col>12</xdr:col>
      <xdr:colOff>714375</xdr:colOff>
      <xdr:row>18</xdr:row>
      <xdr:rowOff>123825</xdr:rowOff>
    </xdr:from>
    <xdr:ext cx="6067425" cy="3362325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19</xdr:row>
      <xdr:rowOff>257175</xdr:rowOff>
    </xdr:from>
    <xdr:ext cx="5638800" cy="234315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1562100</xdr:colOff>
      <xdr:row>36</xdr:row>
      <xdr:rowOff>361950</xdr:rowOff>
    </xdr:from>
    <xdr:ext cx="5124450" cy="228600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571500</xdr:colOff>
      <xdr:row>27</xdr:row>
      <xdr:rowOff>114300</xdr:rowOff>
    </xdr:from>
    <xdr:ext cx="8372475" cy="3486150"/>
    <xdr:pic>
      <xdr:nvPicPr>
        <xdr:cNvPr id="0" name="image1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723900</xdr:colOff>
      <xdr:row>21</xdr:row>
      <xdr:rowOff>361950</xdr:rowOff>
    </xdr:from>
    <xdr:ext cx="4676775" cy="1266825"/>
    <xdr:pic>
      <xdr:nvPicPr>
        <xdr:cNvPr id="0" name="image8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723900</xdr:colOff>
      <xdr:row>25</xdr:row>
      <xdr:rowOff>104775</xdr:rowOff>
    </xdr:from>
    <xdr:ext cx="4733925" cy="121920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180975</xdr:colOff>
      <xdr:row>0</xdr:row>
      <xdr:rowOff>323850</xdr:rowOff>
    </xdr:from>
    <xdr:ext cx="1457325" cy="371475"/>
    <xdr:sp>
      <xdr:nvSpPr>
        <xdr:cNvPr id="3" name="Shape 3"/>
        <xdr:cNvSpPr/>
      </xdr:nvSpPr>
      <xdr:spPr>
        <a:xfrm>
          <a:off x="2521775" y="542825"/>
          <a:ext cx="1436700" cy="3567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physiques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2</xdr:row>
      <xdr:rowOff>57150</xdr:rowOff>
    </xdr:from>
    <xdr:ext cx="1457325" cy="381000"/>
    <xdr:sp>
      <xdr:nvSpPr>
        <xdr:cNvPr id="4" name="Shape 4"/>
        <xdr:cNvSpPr/>
      </xdr:nvSpPr>
      <xdr:spPr>
        <a:xfrm>
          <a:off x="2161900" y="625625"/>
          <a:ext cx="1438800" cy="3657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magiques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3</xdr:row>
      <xdr:rowOff>180975</xdr:rowOff>
    </xdr:from>
    <xdr:ext cx="1457325" cy="381000"/>
    <xdr:sp>
      <xdr:nvSpPr>
        <xdr:cNvPr id="5" name="Shape 5"/>
        <xdr:cNvSpPr/>
      </xdr:nvSpPr>
      <xdr:spPr>
        <a:xfrm>
          <a:off x="1800875" y="719575"/>
          <a:ext cx="1435200" cy="3660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bruts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17</xdr:row>
      <xdr:rowOff>133350</xdr:rowOff>
    </xdr:from>
    <xdr:ext cx="1466850" cy="381000"/>
    <xdr:sp>
      <xdr:nvSpPr>
        <xdr:cNvPr id="6" name="Shape 6"/>
        <xdr:cNvSpPr/>
      </xdr:nvSpPr>
      <xdr:spPr>
        <a:xfrm>
          <a:off x="1797450" y="1258550"/>
          <a:ext cx="1447500" cy="358500"/>
        </a:xfrm>
        <a:prstGeom prst="roundRect">
          <a:avLst>
            <a:gd fmla="val 16667" name="adj"/>
          </a:avLst>
        </a:prstGeom>
        <a:gradFill>
          <a:gsLst>
            <a:gs pos="0">
              <a:srgbClr val="DCECD5"/>
            </a:gs>
            <a:gs pos="100000">
              <a:srgbClr val="92BC81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17</xdr:row>
      <xdr:rowOff>133350</xdr:rowOff>
    </xdr:from>
    <xdr:ext cx="1457325" cy="381000"/>
    <xdr:sp>
      <xdr:nvSpPr>
        <xdr:cNvPr id="7" name="Shape 7"/>
        <xdr:cNvSpPr/>
      </xdr:nvSpPr>
      <xdr:spPr>
        <a:xfrm>
          <a:off x="1799175" y="901675"/>
          <a:ext cx="1443000" cy="3576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17</xdr:row>
      <xdr:rowOff>133350</xdr:rowOff>
    </xdr:from>
    <xdr:ext cx="1457325" cy="381000"/>
    <xdr:sp>
      <xdr:nvSpPr>
        <xdr:cNvPr id="8" name="Shape 8"/>
        <xdr:cNvSpPr/>
      </xdr:nvSpPr>
      <xdr:spPr>
        <a:xfrm>
          <a:off x="1440100" y="1076875"/>
          <a:ext cx="1442100" cy="3645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AD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17</xdr:row>
      <xdr:rowOff>133350</xdr:rowOff>
    </xdr:from>
    <xdr:ext cx="1457325" cy="381000"/>
    <xdr:sp>
      <xdr:nvSpPr>
        <xdr:cNvPr id="9" name="Shape 9"/>
        <xdr:cNvSpPr/>
      </xdr:nvSpPr>
      <xdr:spPr>
        <a:xfrm>
          <a:off x="1440525" y="720600"/>
          <a:ext cx="1438500" cy="3606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18</xdr:row>
      <xdr:rowOff>266700</xdr:rowOff>
    </xdr:from>
    <xdr:ext cx="1457325" cy="381000"/>
    <xdr:sp>
      <xdr:nvSpPr>
        <xdr:cNvPr id="10" name="Shape 10"/>
        <xdr:cNvSpPr/>
      </xdr:nvSpPr>
      <xdr:spPr>
        <a:xfrm>
          <a:off x="2161125" y="538550"/>
          <a:ext cx="1437600" cy="3618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17</xdr:row>
      <xdr:rowOff>133350</xdr:rowOff>
    </xdr:from>
    <xdr:ext cx="1457325" cy="381000"/>
    <xdr:sp>
      <xdr:nvSpPr>
        <xdr:cNvPr id="11" name="Shape 11"/>
        <xdr:cNvSpPr/>
      </xdr:nvSpPr>
      <xdr:spPr>
        <a:xfrm>
          <a:off x="2161125" y="720600"/>
          <a:ext cx="1440000" cy="361200"/>
        </a:xfrm>
        <a:prstGeom prst="roundRect">
          <a:avLst>
            <a:gd fmla="val 16667" name="adj"/>
          </a:avLst>
        </a:prstGeom>
        <a:gradFill>
          <a:gsLst>
            <a:gs pos="0">
              <a:srgbClr val="8C8C8C"/>
            </a:gs>
            <a:gs pos="100000">
              <a:srgbClr val="40404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Armure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17</xdr:row>
      <xdr:rowOff>133350</xdr:rowOff>
    </xdr:from>
    <xdr:ext cx="1457325" cy="381000"/>
    <xdr:sp>
      <xdr:nvSpPr>
        <xdr:cNvPr id="12" name="Shape 12"/>
        <xdr:cNvSpPr/>
      </xdr:nvSpPr>
      <xdr:spPr>
        <a:xfrm>
          <a:off x="2162525" y="1080150"/>
          <a:ext cx="14388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4D29AA"/>
            </a:gs>
            <a:gs pos="100000">
              <a:srgbClr val="1E123D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Rés. Mag.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18</xdr:row>
      <xdr:rowOff>266700</xdr:rowOff>
    </xdr:from>
    <xdr:ext cx="1457325" cy="381000"/>
    <xdr:sp>
      <xdr:nvSpPr>
        <xdr:cNvPr id="13" name="Shape 13"/>
        <xdr:cNvSpPr/>
      </xdr:nvSpPr>
      <xdr:spPr>
        <a:xfrm>
          <a:off x="1800875" y="720875"/>
          <a:ext cx="1441800" cy="3624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D.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18</xdr:row>
      <xdr:rowOff>266700</xdr:rowOff>
    </xdr:from>
    <xdr:ext cx="1457325" cy="381000"/>
    <xdr:sp>
      <xdr:nvSpPr>
        <xdr:cNvPr id="14" name="Shape 14"/>
        <xdr:cNvSpPr/>
      </xdr:nvSpPr>
      <xdr:spPr>
        <a:xfrm>
          <a:off x="1438275" y="717550"/>
          <a:ext cx="14415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Vol de vie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18</xdr:row>
      <xdr:rowOff>266700</xdr:rowOff>
    </xdr:from>
    <xdr:ext cx="1457325" cy="381000"/>
    <xdr:sp>
      <xdr:nvSpPr>
        <xdr:cNvPr id="15" name="Shape 15"/>
        <xdr:cNvSpPr/>
      </xdr:nvSpPr>
      <xdr:spPr>
        <a:xfrm>
          <a:off x="1441450" y="720725"/>
          <a:ext cx="14382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Sapience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18</xdr:row>
      <xdr:rowOff>266700</xdr:rowOff>
    </xdr:from>
    <xdr:ext cx="1457325" cy="381000"/>
    <xdr:sp>
      <xdr:nvSpPr>
        <xdr:cNvPr id="16" name="Shape 16"/>
        <xdr:cNvSpPr/>
      </xdr:nvSpPr>
      <xdr:spPr>
        <a:xfrm>
          <a:off x="1082675" y="717550"/>
          <a:ext cx="1436700" cy="365100"/>
        </a:xfrm>
        <a:prstGeom prst="roundRect">
          <a:avLst>
            <a:gd fmla="val 16667" name="adj"/>
          </a:avLst>
        </a:prstGeom>
        <a:gradFill>
          <a:gsLst>
            <a:gs pos="0">
              <a:srgbClr val="F48108"/>
            </a:gs>
            <a:gs pos="100000">
              <a:srgbClr val="703D08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Omnivamp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18</xdr:row>
      <xdr:rowOff>266700</xdr:rowOff>
    </xdr:from>
    <xdr:ext cx="1457325" cy="381000"/>
    <xdr:sp>
      <xdr:nvSpPr>
        <xdr:cNvPr id="17" name="Shape 17"/>
        <xdr:cNvSpPr/>
      </xdr:nvSpPr>
      <xdr:spPr>
        <a:xfrm>
          <a:off x="1083725" y="358775"/>
          <a:ext cx="1434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2F2F2"/>
            </a:gs>
            <a:gs pos="100000">
              <a:srgbClr val="A6A6A6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Tout Reset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4</xdr:row>
      <xdr:rowOff>304800</xdr:rowOff>
    </xdr:from>
    <xdr:ext cx="1457325" cy="381000"/>
    <xdr:sp>
      <xdr:nvSpPr>
        <xdr:cNvPr id="18" name="Shape 18"/>
        <xdr:cNvSpPr/>
      </xdr:nvSpPr>
      <xdr:spPr>
        <a:xfrm>
          <a:off x="1438400" y="719975"/>
          <a:ext cx="14382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F5D0D0"/>
            </a:gs>
            <a:gs pos="100000">
              <a:srgbClr val="D96868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Soin de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6</xdr:row>
      <xdr:rowOff>47625</xdr:rowOff>
    </xdr:from>
    <xdr:ext cx="1457325" cy="381000"/>
    <xdr:sp>
      <xdr:nvSpPr>
        <xdr:cNvPr id="19" name="Shape 19"/>
        <xdr:cNvSpPr/>
      </xdr:nvSpPr>
      <xdr:spPr>
        <a:xfrm>
          <a:off x="2147025" y="720925"/>
          <a:ext cx="1440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Gain Bouclier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7</xdr:row>
      <xdr:rowOff>171450</xdr:rowOff>
    </xdr:from>
    <xdr:ext cx="1457325" cy="381000"/>
    <xdr:sp>
      <xdr:nvSpPr>
        <xdr:cNvPr id="20" name="Shape 20"/>
        <xdr:cNvSpPr/>
      </xdr:nvSpPr>
      <xdr:spPr>
        <a:xfrm>
          <a:off x="1799175" y="900325"/>
          <a:ext cx="14373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Récup.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8</xdr:row>
      <xdr:rowOff>295275</xdr:rowOff>
    </xdr:from>
    <xdr:ext cx="1457325" cy="381000"/>
    <xdr:sp>
      <xdr:nvSpPr>
        <xdr:cNvPr id="21" name="Shape 21"/>
        <xdr:cNvSpPr/>
      </xdr:nvSpPr>
      <xdr:spPr>
        <a:xfrm>
          <a:off x="3599325" y="1800250"/>
          <a:ext cx="1440600" cy="3588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Attaque (Base)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1085850</xdr:colOff>
      <xdr:row>17</xdr:row>
      <xdr:rowOff>295275</xdr:rowOff>
    </xdr:from>
    <xdr:ext cx="2933700" cy="2838450"/>
    <xdr:sp>
      <xdr:nvSpPr>
        <xdr:cNvPr id="34" name="Shape 34"/>
        <xdr:cNvSpPr/>
      </xdr:nvSpPr>
      <xdr:spPr>
        <a:xfrm>
          <a:off x="5082825" y="2931175"/>
          <a:ext cx="2915700" cy="2816700"/>
        </a:xfrm>
        <a:prstGeom prst="flowChartSummingJunction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Chair gelée</a:t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Ame fendue</a:t>
          </a:r>
          <a:endParaRPr sz="1500"/>
        </a:p>
      </xdr:txBody>
    </xdr:sp>
    <xdr:clientData fLocksWithSheet="0"/>
  </xdr:oneCellAnchor>
  <xdr:oneCellAnchor>
    <xdr:from>
      <xdr:col>14</xdr:col>
      <xdr:colOff>476250</xdr:colOff>
      <xdr:row>19</xdr:row>
      <xdr:rowOff>219075</xdr:rowOff>
    </xdr:from>
    <xdr:ext cx="2809875" cy="1066800"/>
    <xdr:sp>
      <xdr:nvSpPr>
        <xdr:cNvPr id="35" name="Shape 35"/>
        <xdr:cNvSpPr/>
      </xdr:nvSpPr>
      <xdr:spPr>
        <a:xfrm>
          <a:off x="5152250" y="1344375"/>
          <a:ext cx="2787000" cy="1051200"/>
        </a:xfrm>
        <a:prstGeom prst="cube">
          <a:avLst>
            <a:gd fmla="val 250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Mur de Givre</a:t>
          </a:r>
          <a:endParaRPr sz="16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(50 Mana, CD 3)</a:t>
          </a:r>
          <a:endParaRPr sz="1600"/>
        </a:p>
      </xdr:txBody>
    </xdr:sp>
    <xdr:clientData fLocksWithSheet="0"/>
  </xdr:oneCellAnchor>
  <xdr:oneCellAnchor>
    <xdr:from>
      <xdr:col>9</xdr:col>
      <xdr:colOff>981075</xdr:colOff>
      <xdr:row>25</xdr:row>
      <xdr:rowOff>133350</xdr:rowOff>
    </xdr:from>
    <xdr:ext cx="3143250" cy="3152775"/>
    <xdr:sp>
      <xdr:nvSpPr>
        <xdr:cNvPr id="36" name="Shape 36"/>
        <xdr:cNvSpPr/>
      </xdr:nvSpPr>
      <xdr:spPr>
        <a:xfrm>
          <a:off x="5241525" y="2058450"/>
          <a:ext cx="3123900" cy="3134100"/>
        </a:xfrm>
        <a:prstGeom prst="noSmoking">
          <a:avLst>
            <a:gd fmla="val 1875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/>
            <a:t>Reset Glaciation</a:t>
          </a:r>
          <a:endParaRPr b="1" sz="18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800"/>
            <a:t>+</a:t>
          </a:r>
          <a:br>
            <a:rPr b="1" lang="en-US" sz="1800"/>
          </a:br>
          <a:r>
            <a:rPr b="1" lang="en-US" sz="1800"/>
            <a:t>Dégâts âme fendu</a:t>
          </a:r>
          <a:endParaRPr b="1" sz="1800"/>
        </a:p>
      </xdr:txBody>
    </xdr:sp>
    <xdr:clientData fLocksWithSheet="0"/>
  </xdr:oneCellAnchor>
  <xdr:oneCellAnchor>
    <xdr:from>
      <xdr:col>12</xdr:col>
      <xdr:colOff>933450</xdr:colOff>
      <xdr:row>18</xdr:row>
      <xdr:rowOff>133350</xdr:rowOff>
    </xdr:from>
    <xdr:ext cx="2647950" cy="3162300"/>
    <xdr:grpSp>
      <xdr:nvGrpSpPr>
        <xdr:cNvPr id="2" name="Shape 2" title="Dessin"/>
        <xdr:cNvGrpSpPr/>
      </xdr:nvGrpSpPr>
      <xdr:grpSpPr>
        <a:xfrm>
          <a:off x="3497525" y="922325"/>
          <a:ext cx="2628300" cy="3143880"/>
          <a:chOff x="3497525" y="922325"/>
          <a:chExt cx="2628300" cy="3143880"/>
        </a:xfrm>
      </xdr:grpSpPr>
      <xdr:sp>
        <xdr:nvSpPr>
          <xdr:cNvPr id="37" name="Shape 37"/>
          <xdr:cNvSpPr/>
        </xdr:nvSpPr>
        <xdr:spPr>
          <a:xfrm>
            <a:off x="3695950" y="922325"/>
            <a:ext cx="2231442" cy="3143880"/>
          </a:xfrm>
          <a:prstGeom prst="lightningBol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38" name="Shape 38"/>
          <xdr:cNvSpPr txBox="1"/>
        </xdr:nvSpPr>
        <xdr:spPr>
          <a:xfrm>
            <a:off x="3497525" y="1700913"/>
            <a:ext cx="2628300" cy="15867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/>
              <a:t>Frappe irritée (10 mana)</a:t>
            </a:r>
            <a:endParaRPr b="1" sz="1600"/>
          </a:p>
        </xdr:txBody>
      </xdr:sp>
    </xdr:grpSp>
    <xdr:clientData fLocksWithSheet="0"/>
  </xdr:oneCellAnchor>
  <xdr:oneCellAnchor>
    <xdr:from>
      <xdr:col>7</xdr:col>
      <xdr:colOff>1162050</xdr:colOff>
      <xdr:row>10</xdr:row>
      <xdr:rowOff>38100</xdr:rowOff>
    </xdr:from>
    <xdr:ext cx="1562100" cy="523875"/>
    <xdr:sp>
      <xdr:nvSpPr>
        <xdr:cNvPr id="39" name="Shape 39"/>
        <xdr:cNvSpPr/>
      </xdr:nvSpPr>
      <xdr:spPr>
        <a:xfrm>
          <a:off x="3367100" y="868325"/>
          <a:ext cx="1547100" cy="5058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Attaque furtive</a:t>
          </a:r>
          <a:endParaRPr sz="1400"/>
        </a:p>
      </xdr:txBody>
    </xdr:sp>
    <xdr:clientData fLocksWithSheet="0"/>
  </xdr:oneCellAnchor>
  <xdr:oneCellAnchor>
    <xdr:from>
      <xdr:col>14</xdr:col>
      <xdr:colOff>9525</xdr:colOff>
      <xdr:row>3</xdr:row>
      <xdr:rowOff>323850</xdr:rowOff>
    </xdr:from>
    <xdr:ext cx="12858750" cy="4181475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1371600</xdr:colOff>
      <xdr:row>15</xdr:row>
      <xdr:rowOff>342900</xdr:rowOff>
    </xdr:from>
    <xdr:ext cx="13554075" cy="9496425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1371600</xdr:colOff>
      <xdr:row>40</xdr:row>
      <xdr:rowOff>352425</xdr:rowOff>
    </xdr:from>
    <xdr:ext cx="13601700" cy="2695575"/>
    <xdr:pic>
      <xdr:nvPicPr>
        <xdr:cNvPr id="0" name="image1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0</xdr:row>
      <xdr:rowOff>200025</xdr:rowOff>
    </xdr:from>
    <xdr:ext cx="1457325" cy="371475"/>
    <xdr:sp>
      <xdr:nvSpPr>
        <xdr:cNvPr id="3" name="Shape 3"/>
        <xdr:cNvSpPr/>
      </xdr:nvSpPr>
      <xdr:spPr>
        <a:xfrm>
          <a:off x="2521775" y="542825"/>
          <a:ext cx="1436700" cy="3567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physiques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9525</xdr:colOff>
      <xdr:row>1</xdr:row>
      <xdr:rowOff>257175</xdr:rowOff>
    </xdr:from>
    <xdr:ext cx="1457325" cy="381000"/>
    <xdr:sp>
      <xdr:nvSpPr>
        <xdr:cNvPr id="4" name="Shape 4"/>
        <xdr:cNvSpPr/>
      </xdr:nvSpPr>
      <xdr:spPr>
        <a:xfrm>
          <a:off x="2161900" y="625625"/>
          <a:ext cx="1438800" cy="3657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magiques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9525</xdr:colOff>
      <xdr:row>2</xdr:row>
      <xdr:rowOff>323850</xdr:rowOff>
    </xdr:from>
    <xdr:ext cx="1457325" cy="381000"/>
    <xdr:sp>
      <xdr:nvSpPr>
        <xdr:cNvPr id="5" name="Shape 5"/>
        <xdr:cNvSpPr/>
      </xdr:nvSpPr>
      <xdr:spPr>
        <a:xfrm>
          <a:off x="1800875" y="719575"/>
          <a:ext cx="1435200" cy="3660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bruts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17</xdr:row>
      <xdr:rowOff>133350</xdr:rowOff>
    </xdr:from>
    <xdr:ext cx="1466850" cy="381000"/>
    <xdr:sp>
      <xdr:nvSpPr>
        <xdr:cNvPr id="6" name="Shape 6"/>
        <xdr:cNvSpPr/>
      </xdr:nvSpPr>
      <xdr:spPr>
        <a:xfrm>
          <a:off x="1797450" y="1258550"/>
          <a:ext cx="1447500" cy="358500"/>
        </a:xfrm>
        <a:prstGeom prst="roundRect">
          <a:avLst>
            <a:gd fmla="val 16667" name="adj"/>
          </a:avLst>
        </a:prstGeom>
        <a:gradFill>
          <a:gsLst>
            <a:gs pos="0">
              <a:srgbClr val="DCECD5"/>
            </a:gs>
            <a:gs pos="100000">
              <a:srgbClr val="92BC81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17</xdr:row>
      <xdr:rowOff>133350</xdr:rowOff>
    </xdr:from>
    <xdr:ext cx="1457325" cy="381000"/>
    <xdr:sp>
      <xdr:nvSpPr>
        <xdr:cNvPr id="7" name="Shape 7"/>
        <xdr:cNvSpPr/>
      </xdr:nvSpPr>
      <xdr:spPr>
        <a:xfrm>
          <a:off x="1799175" y="901675"/>
          <a:ext cx="1443000" cy="3576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17</xdr:row>
      <xdr:rowOff>133350</xdr:rowOff>
    </xdr:from>
    <xdr:ext cx="1457325" cy="381000"/>
    <xdr:sp>
      <xdr:nvSpPr>
        <xdr:cNvPr id="8" name="Shape 8"/>
        <xdr:cNvSpPr/>
      </xdr:nvSpPr>
      <xdr:spPr>
        <a:xfrm>
          <a:off x="1440100" y="1076875"/>
          <a:ext cx="1442100" cy="3645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AD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17</xdr:row>
      <xdr:rowOff>133350</xdr:rowOff>
    </xdr:from>
    <xdr:ext cx="1457325" cy="381000"/>
    <xdr:sp>
      <xdr:nvSpPr>
        <xdr:cNvPr id="9" name="Shape 9"/>
        <xdr:cNvSpPr/>
      </xdr:nvSpPr>
      <xdr:spPr>
        <a:xfrm>
          <a:off x="1440525" y="720600"/>
          <a:ext cx="1438500" cy="3606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18</xdr:row>
      <xdr:rowOff>266700</xdr:rowOff>
    </xdr:from>
    <xdr:ext cx="1457325" cy="381000"/>
    <xdr:sp>
      <xdr:nvSpPr>
        <xdr:cNvPr id="10" name="Shape 10"/>
        <xdr:cNvSpPr/>
      </xdr:nvSpPr>
      <xdr:spPr>
        <a:xfrm>
          <a:off x="2161125" y="538550"/>
          <a:ext cx="1437600" cy="3618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17</xdr:row>
      <xdr:rowOff>133350</xdr:rowOff>
    </xdr:from>
    <xdr:ext cx="1457325" cy="381000"/>
    <xdr:sp>
      <xdr:nvSpPr>
        <xdr:cNvPr id="11" name="Shape 11"/>
        <xdr:cNvSpPr/>
      </xdr:nvSpPr>
      <xdr:spPr>
        <a:xfrm>
          <a:off x="2161125" y="720600"/>
          <a:ext cx="1440000" cy="361200"/>
        </a:xfrm>
        <a:prstGeom prst="roundRect">
          <a:avLst>
            <a:gd fmla="val 16667" name="adj"/>
          </a:avLst>
        </a:prstGeom>
        <a:gradFill>
          <a:gsLst>
            <a:gs pos="0">
              <a:srgbClr val="8C8C8C"/>
            </a:gs>
            <a:gs pos="100000">
              <a:srgbClr val="40404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Armure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17</xdr:row>
      <xdr:rowOff>133350</xdr:rowOff>
    </xdr:from>
    <xdr:ext cx="1457325" cy="381000"/>
    <xdr:sp>
      <xdr:nvSpPr>
        <xdr:cNvPr id="12" name="Shape 12"/>
        <xdr:cNvSpPr/>
      </xdr:nvSpPr>
      <xdr:spPr>
        <a:xfrm>
          <a:off x="2162525" y="1080150"/>
          <a:ext cx="14388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4D29AA"/>
            </a:gs>
            <a:gs pos="100000">
              <a:srgbClr val="1E123D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Rés. Mag.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18</xdr:row>
      <xdr:rowOff>266700</xdr:rowOff>
    </xdr:from>
    <xdr:ext cx="1457325" cy="381000"/>
    <xdr:sp>
      <xdr:nvSpPr>
        <xdr:cNvPr id="13" name="Shape 13"/>
        <xdr:cNvSpPr/>
      </xdr:nvSpPr>
      <xdr:spPr>
        <a:xfrm>
          <a:off x="1800875" y="720875"/>
          <a:ext cx="1441800" cy="3624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D.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18</xdr:row>
      <xdr:rowOff>266700</xdr:rowOff>
    </xdr:from>
    <xdr:ext cx="1457325" cy="381000"/>
    <xdr:sp>
      <xdr:nvSpPr>
        <xdr:cNvPr id="14" name="Shape 14"/>
        <xdr:cNvSpPr/>
      </xdr:nvSpPr>
      <xdr:spPr>
        <a:xfrm>
          <a:off x="1438275" y="717550"/>
          <a:ext cx="14415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Vol de vie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18</xdr:row>
      <xdr:rowOff>266700</xdr:rowOff>
    </xdr:from>
    <xdr:ext cx="1457325" cy="381000"/>
    <xdr:sp>
      <xdr:nvSpPr>
        <xdr:cNvPr id="15" name="Shape 15"/>
        <xdr:cNvSpPr/>
      </xdr:nvSpPr>
      <xdr:spPr>
        <a:xfrm>
          <a:off x="1441450" y="720725"/>
          <a:ext cx="14382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Sapience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18</xdr:row>
      <xdr:rowOff>266700</xdr:rowOff>
    </xdr:from>
    <xdr:ext cx="1457325" cy="381000"/>
    <xdr:sp>
      <xdr:nvSpPr>
        <xdr:cNvPr id="16" name="Shape 16"/>
        <xdr:cNvSpPr/>
      </xdr:nvSpPr>
      <xdr:spPr>
        <a:xfrm>
          <a:off x="1082675" y="717550"/>
          <a:ext cx="1436700" cy="365100"/>
        </a:xfrm>
        <a:prstGeom prst="roundRect">
          <a:avLst>
            <a:gd fmla="val 16667" name="adj"/>
          </a:avLst>
        </a:prstGeom>
        <a:gradFill>
          <a:gsLst>
            <a:gs pos="0">
              <a:srgbClr val="F48108"/>
            </a:gs>
            <a:gs pos="100000">
              <a:srgbClr val="703D08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Omnivamp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18</xdr:row>
      <xdr:rowOff>266700</xdr:rowOff>
    </xdr:from>
    <xdr:ext cx="1457325" cy="381000"/>
    <xdr:sp>
      <xdr:nvSpPr>
        <xdr:cNvPr id="17" name="Shape 17"/>
        <xdr:cNvSpPr/>
      </xdr:nvSpPr>
      <xdr:spPr>
        <a:xfrm>
          <a:off x="1083725" y="358775"/>
          <a:ext cx="1434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2F2F2"/>
            </a:gs>
            <a:gs pos="100000">
              <a:srgbClr val="A6A6A6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Tout Reset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9525</xdr:colOff>
      <xdr:row>4</xdr:row>
      <xdr:rowOff>19050</xdr:rowOff>
    </xdr:from>
    <xdr:ext cx="1457325" cy="381000"/>
    <xdr:sp>
      <xdr:nvSpPr>
        <xdr:cNvPr id="18" name="Shape 18"/>
        <xdr:cNvSpPr/>
      </xdr:nvSpPr>
      <xdr:spPr>
        <a:xfrm>
          <a:off x="1438400" y="719975"/>
          <a:ext cx="14382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F5D0D0"/>
            </a:gs>
            <a:gs pos="100000">
              <a:srgbClr val="D96868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Soin de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9525</xdr:colOff>
      <xdr:row>5</xdr:row>
      <xdr:rowOff>95250</xdr:rowOff>
    </xdr:from>
    <xdr:ext cx="1457325" cy="381000"/>
    <xdr:sp>
      <xdr:nvSpPr>
        <xdr:cNvPr id="19" name="Shape 19"/>
        <xdr:cNvSpPr/>
      </xdr:nvSpPr>
      <xdr:spPr>
        <a:xfrm>
          <a:off x="2147025" y="720925"/>
          <a:ext cx="1440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Gain Bouclier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9525</xdr:colOff>
      <xdr:row>6</xdr:row>
      <xdr:rowOff>171450</xdr:rowOff>
    </xdr:from>
    <xdr:ext cx="1457325" cy="381000"/>
    <xdr:sp>
      <xdr:nvSpPr>
        <xdr:cNvPr id="20" name="Shape 20"/>
        <xdr:cNvSpPr/>
      </xdr:nvSpPr>
      <xdr:spPr>
        <a:xfrm>
          <a:off x="1799175" y="900325"/>
          <a:ext cx="14373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Récup.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9525</xdr:colOff>
      <xdr:row>7</xdr:row>
      <xdr:rowOff>247650</xdr:rowOff>
    </xdr:from>
    <xdr:ext cx="1457325" cy="381000"/>
    <xdr:sp>
      <xdr:nvSpPr>
        <xdr:cNvPr id="21" name="Shape 21"/>
        <xdr:cNvSpPr/>
      </xdr:nvSpPr>
      <xdr:spPr>
        <a:xfrm>
          <a:off x="3599325" y="1800250"/>
          <a:ext cx="1440600" cy="3588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Attaque (Base)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9</xdr:col>
      <xdr:colOff>704850</xdr:colOff>
      <xdr:row>11</xdr:row>
      <xdr:rowOff>152400</xdr:rowOff>
    </xdr:from>
    <xdr:ext cx="1962150" cy="1743075"/>
    <xdr:sp>
      <xdr:nvSpPr>
        <xdr:cNvPr id="40" name="Shape 40"/>
        <xdr:cNvSpPr/>
      </xdr:nvSpPr>
      <xdr:spPr>
        <a:xfrm>
          <a:off x="3613900" y="1231125"/>
          <a:ext cx="1945800" cy="1727400"/>
        </a:xfrm>
        <a:prstGeom prst="cube">
          <a:avLst>
            <a:gd fmla="val 250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Nano-hextech</a:t>
          </a:r>
          <a:endParaRPr sz="1400"/>
        </a:p>
      </xdr:txBody>
    </xdr:sp>
    <xdr:clientData fLocksWithSheet="0"/>
  </xdr:oneCellAnchor>
  <xdr:oneCellAnchor>
    <xdr:from>
      <xdr:col>11</xdr:col>
      <xdr:colOff>742950</xdr:colOff>
      <xdr:row>10</xdr:row>
      <xdr:rowOff>200025</xdr:rowOff>
    </xdr:from>
    <xdr:ext cx="2828925" cy="2743200"/>
    <xdr:sp>
      <xdr:nvSpPr>
        <xdr:cNvPr id="41" name="Shape 41"/>
        <xdr:cNvSpPr/>
      </xdr:nvSpPr>
      <xdr:spPr>
        <a:xfrm>
          <a:off x="3530200" y="857250"/>
          <a:ext cx="2809800" cy="2726400"/>
        </a:xfrm>
        <a:prstGeom prst="star24">
          <a:avLst>
            <a:gd fmla="val 37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Remodulation hexpérimentale</a:t>
          </a:r>
          <a:endParaRPr sz="1500"/>
        </a:p>
      </xdr:txBody>
    </xdr:sp>
    <xdr:clientData fLocksWithSheet="0"/>
  </xdr:oneCellAnchor>
  <xdr:oneCellAnchor>
    <xdr:from>
      <xdr:col>8</xdr:col>
      <xdr:colOff>9525</xdr:colOff>
      <xdr:row>8</xdr:row>
      <xdr:rowOff>323850</xdr:rowOff>
    </xdr:from>
    <xdr:ext cx="1457325" cy="390525"/>
    <xdr:sp>
      <xdr:nvSpPr>
        <xdr:cNvPr id="42" name="Shape 42"/>
        <xdr:cNvSpPr/>
      </xdr:nvSpPr>
      <xdr:spPr>
        <a:xfrm>
          <a:off x="2153425" y="704325"/>
          <a:ext cx="1440300" cy="369000"/>
        </a:xfrm>
        <a:prstGeom prst="roundRect">
          <a:avLst>
            <a:gd fmla="val 16667" name="adj"/>
          </a:avLst>
        </a:prstGeom>
        <a:gradFill>
          <a:gsLst>
            <a:gs pos="0">
              <a:srgbClr val="DDDDDD"/>
            </a:gs>
            <a:gs pos="100000">
              <a:srgbClr val="919191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Attaque furtive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14</xdr:col>
      <xdr:colOff>133350</xdr:colOff>
      <xdr:row>10</xdr:row>
      <xdr:rowOff>257175</xdr:rowOff>
    </xdr:from>
    <xdr:ext cx="2981325" cy="2638425"/>
    <xdr:sp>
      <xdr:nvSpPr>
        <xdr:cNvPr id="43" name="Shape 43"/>
        <xdr:cNvSpPr/>
      </xdr:nvSpPr>
      <xdr:spPr>
        <a:xfrm>
          <a:off x="2534025" y="1195600"/>
          <a:ext cx="3481200" cy="3144000"/>
        </a:xfrm>
        <a:prstGeom prst="hear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Alignement de séquence</a:t>
          </a:r>
          <a:endParaRPr sz="15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500"/>
            <a:t>(40 Mana, 3 CD)</a:t>
          </a:r>
          <a:endParaRPr sz="1500"/>
        </a:p>
      </xdr:txBody>
    </xdr:sp>
    <xdr:clientData fLocksWithSheet="0"/>
  </xdr:oneCellAnchor>
  <xdr:oneCellAnchor>
    <xdr:from>
      <xdr:col>14</xdr:col>
      <xdr:colOff>1047750</xdr:colOff>
      <xdr:row>0</xdr:row>
      <xdr:rowOff>200025</xdr:rowOff>
    </xdr:from>
    <xdr:ext cx="12744450" cy="1857375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180975</xdr:colOff>
      <xdr:row>0</xdr:row>
      <xdr:rowOff>180975</xdr:rowOff>
    </xdr:from>
    <xdr:ext cx="1457325" cy="371475"/>
    <xdr:sp>
      <xdr:nvSpPr>
        <xdr:cNvPr id="3" name="Shape 3"/>
        <xdr:cNvSpPr/>
      </xdr:nvSpPr>
      <xdr:spPr>
        <a:xfrm>
          <a:off x="2521775" y="542825"/>
          <a:ext cx="1436700" cy="3567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physiques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1</xdr:row>
      <xdr:rowOff>257175</xdr:rowOff>
    </xdr:from>
    <xdr:ext cx="1457325" cy="381000"/>
    <xdr:sp>
      <xdr:nvSpPr>
        <xdr:cNvPr id="4" name="Shape 4"/>
        <xdr:cNvSpPr/>
      </xdr:nvSpPr>
      <xdr:spPr>
        <a:xfrm>
          <a:off x="2161900" y="625625"/>
          <a:ext cx="1438800" cy="3657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magiques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2</xdr:row>
      <xdr:rowOff>342900</xdr:rowOff>
    </xdr:from>
    <xdr:ext cx="1457325" cy="381000"/>
    <xdr:sp>
      <xdr:nvSpPr>
        <xdr:cNvPr id="5" name="Shape 5"/>
        <xdr:cNvSpPr/>
      </xdr:nvSpPr>
      <xdr:spPr>
        <a:xfrm>
          <a:off x="1800875" y="719575"/>
          <a:ext cx="1435200" cy="3660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Dégâts bruts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17</xdr:row>
      <xdr:rowOff>133350</xdr:rowOff>
    </xdr:from>
    <xdr:ext cx="1466850" cy="381000"/>
    <xdr:sp>
      <xdr:nvSpPr>
        <xdr:cNvPr id="6" name="Shape 6"/>
        <xdr:cNvSpPr/>
      </xdr:nvSpPr>
      <xdr:spPr>
        <a:xfrm>
          <a:off x="1797450" y="1258550"/>
          <a:ext cx="1447500" cy="358500"/>
        </a:xfrm>
        <a:prstGeom prst="roundRect">
          <a:avLst>
            <a:gd fmla="val 16667" name="adj"/>
          </a:avLst>
        </a:prstGeom>
        <a:gradFill>
          <a:gsLst>
            <a:gs pos="0">
              <a:srgbClr val="DCECD5"/>
            </a:gs>
            <a:gs pos="100000">
              <a:srgbClr val="92BC81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17</xdr:row>
      <xdr:rowOff>133350</xdr:rowOff>
    </xdr:from>
    <xdr:ext cx="1457325" cy="381000"/>
    <xdr:sp>
      <xdr:nvSpPr>
        <xdr:cNvPr id="7" name="Shape 7"/>
        <xdr:cNvSpPr/>
      </xdr:nvSpPr>
      <xdr:spPr>
        <a:xfrm>
          <a:off x="1799175" y="901675"/>
          <a:ext cx="1443000" cy="3576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Reset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17</xdr:row>
      <xdr:rowOff>133350</xdr:rowOff>
    </xdr:from>
    <xdr:ext cx="1457325" cy="381000"/>
    <xdr:sp>
      <xdr:nvSpPr>
        <xdr:cNvPr id="8" name="Shape 8"/>
        <xdr:cNvSpPr/>
      </xdr:nvSpPr>
      <xdr:spPr>
        <a:xfrm>
          <a:off x="1440100" y="1076875"/>
          <a:ext cx="1442100" cy="3645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AD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17</xdr:row>
      <xdr:rowOff>133350</xdr:rowOff>
    </xdr:from>
    <xdr:ext cx="1457325" cy="381000"/>
    <xdr:sp>
      <xdr:nvSpPr>
        <xdr:cNvPr id="9" name="Shape 9"/>
        <xdr:cNvSpPr/>
      </xdr:nvSpPr>
      <xdr:spPr>
        <a:xfrm>
          <a:off x="1440525" y="720600"/>
          <a:ext cx="1438500" cy="3606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</xdr:col>
      <xdr:colOff>342900</xdr:colOff>
      <xdr:row>18</xdr:row>
      <xdr:rowOff>266700</xdr:rowOff>
    </xdr:from>
    <xdr:ext cx="1457325" cy="381000"/>
    <xdr:sp>
      <xdr:nvSpPr>
        <xdr:cNvPr id="10" name="Shape 10"/>
        <xdr:cNvSpPr/>
      </xdr:nvSpPr>
      <xdr:spPr>
        <a:xfrm>
          <a:off x="2161125" y="538550"/>
          <a:ext cx="1437600" cy="3618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17</xdr:row>
      <xdr:rowOff>133350</xdr:rowOff>
    </xdr:from>
    <xdr:ext cx="1457325" cy="381000"/>
    <xdr:sp>
      <xdr:nvSpPr>
        <xdr:cNvPr id="11" name="Shape 11"/>
        <xdr:cNvSpPr/>
      </xdr:nvSpPr>
      <xdr:spPr>
        <a:xfrm>
          <a:off x="2161125" y="720600"/>
          <a:ext cx="1440000" cy="361200"/>
        </a:xfrm>
        <a:prstGeom prst="roundRect">
          <a:avLst>
            <a:gd fmla="val 16667" name="adj"/>
          </a:avLst>
        </a:prstGeom>
        <a:gradFill>
          <a:gsLst>
            <a:gs pos="0">
              <a:srgbClr val="8C8C8C"/>
            </a:gs>
            <a:gs pos="100000">
              <a:srgbClr val="40404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Armure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17</xdr:row>
      <xdr:rowOff>133350</xdr:rowOff>
    </xdr:from>
    <xdr:ext cx="1457325" cy="381000"/>
    <xdr:sp>
      <xdr:nvSpPr>
        <xdr:cNvPr id="12" name="Shape 12"/>
        <xdr:cNvSpPr/>
      </xdr:nvSpPr>
      <xdr:spPr>
        <a:xfrm>
          <a:off x="2162525" y="1080150"/>
          <a:ext cx="14388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4D29AA"/>
            </a:gs>
            <a:gs pos="100000">
              <a:srgbClr val="1E123D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Rés. Mag.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2</xdr:col>
      <xdr:colOff>438150</xdr:colOff>
      <xdr:row>18</xdr:row>
      <xdr:rowOff>266700</xdr:rowOff>
    </xdr:from>
    <xdr:ext cx="1457325" cy="381000"/>
    <xdr:sp>
      <xdr:nvSpPr>
        <xdr:cNvPr id="13" name="Shape 13"/>
        <xdr:cNvSpPr/>
      </xdr:nvSpPr>
      <xdr:spPr>
        <a:xfrm>
          <a:off x="1800875" y="720875"/>
          <a:ext cx="1441800" cy="362400"/>
        </a:xfrm>
        <a:prstGeom prst="roundRect">
          <a:avLst>
            <a:gd fmla="val 16667" name="adj"/>
          </a:avLst>
        </a:prstGeom>
        <a:gradFill>
          <a:gsLst>
            <a:gs pos="0">
              <a:srgbClr val="4D4D4D"/>
            </a:gs>
            <a:gs pos="100000">
              <a:srgbClr val="000000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% D. Crit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3</xdr:col>
      <xdr:colOff>533400</xdr:colOff>
      <xdr:row>18</xdr:row>
      <xdr:rowOff>266700</xdr:rowOff>
    </xdr:from>
    <xdr:ext cx="1457325" cy="381000"/>
    <xdr:sp>
      <xdr:nvSpPr>
        <xdr:cNvPr id="14" name="Shape 14"/>
        <xdr:cNvSpPr/>
      </xdr:nvSpPr>
      <xdr:spPr>
        <a:xfrm>
          <a:off x="1438275" y="717550"/>
          <a:ext cx="14415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DB0000"/>
            </a:gs>
            <a:gs pos="100000">
              <a:srgbClr val="540303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Vol de vie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4</xdr:col>
      <xdr:colOff>628650</xdr:colOff>
      <xdr:row>18</xdr:row>
      <xdr:rowOff>266700</xdr:rowOff>
    </xdr:from>
    <xdr:ext cx="1457325" cy="381000"/>
    <xdr:sp>
      <xdr:nvSpPr>
        <xdr:cNvPr id="15" name="Shape 15"/>
        <xdr:cNvSpPr/>
      </xdr:nvSpPr>
      <xdr:spPr>
        <a:xfrm>
          <a:off x="1441450" y="720725"/>
          <a:ext cx="1438200" cy="362100"/>
        </a:xfrm>
        <a:prstGeom prst="roundRect">
          <a:avLst>
            <a:gd fmla="val 16667" name="adj"/>
          </a:avLst>
        </a:prstGeom>
        <a:gradFill>
          <a:gsLst>
            <a:gs pos="0">
              <a:srgbClr val="3176EE"/>
            </a:gs>
            <a:gs pos="100000">
              <a:srgbClr val="113D8A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Sapience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5</xdr:col>
      <xdr:colOff>723900</xdr:colOff>
      <xdr:row>18</xdr:row>
      <xdr:rowOff>266700</xdr:rowOff>
    </xdr:from>
    <xdr:ext cx="1457325" cy="381000"/>
    <xdr:sp>
      <xdr:nvSpPr>
        <xdr:cNvPr id="16" name="Shape 16"/>
        <xdr:cNvSpPr/>
      </xdr:nvSpPr>
      <xdr:spPr>
        <a:xfrm>
          <a:off x="1082675" y="717550"/>
          <a:ext cx="1436700" cy="365100"/>
        </a:xfrm>
        <a:prstGeom prst="roundRect">
          <a:avLst>
            <a:gd fmla="val 16667" name="adj"/>
          </a:avLst>
        </a:prstGeom>
        <a:gradFill>
          <a:gsLst>
            <a:gs pos="0">
              <a:srgbClr val="F48108"/>
            </a:gs>
            <a:gs pos="100000">
              <a:srgbClr val="703D08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Reset Omnivamp</a:t>
          </a:r>
          <a:endParaRPr sz="1300">
            <a:solidFill>
              <a:srgbClr val="FFFFFF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238125</xdr:colOff>
      <xdr:row>18</xdr:row>
      <xdr:rowOff>266700</xdr:rowOff>
    </xdr:from>
    <xdr:ext cx="1457325" cy="381000"/>
    <xdr:sp>
      <xdr:nvSpPr>
        <xdr:cNvPr id="17" name="Shape 17"/>
        <xdr:cNvSpPr/>
      </xdr:nvSpPr>
      <xdr:spPr>
        <a:xfrm>
          <a:off x="1083725" y="358775"/>
          <a:ext cx="1434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2F2F2"/>
            </a:gs>
            <a:gs pos="100000">
              <a:srgbClr val="A6A6A6"/>
            </a:gs>
          </a:gsLst>
          <a:lin ang="5400012" scaled="0"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Tout Reset</a:t>
          </a:r>
          <a:endParaRPr sz="12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4</xdr:row>
      <xdr:rowOff>47625</xdr:rowOff>
    </xdr:from>
    <xdr:ext cx="1457325" cy="381000"/>
    <xdr:sp>
      <xdr:nvSpPr>
        <xdr:cNvPr id="18" name="Shape 18"/>
        <xdr:cNvSpPr/>
      </xdr:nvSpPr>
      <xdr:spPr>
        <a:xfrm>
          <a:off x="1438400" y="719975"/>
          <a:ext cx="14382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F5D0D0"/>
            </a:gs>
            <a:gs pos="100000">
              <a:srgbClr val="D96868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Soin de HP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5</xdr:row>
      <xdr:rowOff>133350</xdr:rowOff>
    </xdr:from>
    <xdr:ext cx="1457325" cy="381000"/>
    <xdr:sp>
      <xdr:nvSpPr>
        <xdr:cNvPr id="19" name="Shape 19"/>
        <xdr:cNvSpPr/>
      </xdr:nvSpPr>
      <xdr:spPr>
        <a:xfrm>
          <a:off x="2147025" y="720925"/>
          <a:ext cx="1440000" cy="3603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Gain Bouclier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6</xdr:row>
      <xdr:rowOff>219075</xdr:rowOff>
    </xdr:from>
    <xdr:ext cx="1457325" cy="381000"/>
    <xdr:sp>
      <xdr:nvSpPr>
        <xdr:cNvPr id="20" name="Shape 20"/>
        <xdr:cNvSpPr/>
      </xdr:nvSpPr>
      <xdr:spPr>
        <a:xfrm>
          <a:off x="1799175" y="900325"/>
          <a:ext cx="1437300" cy="360900"/>
        </a:xfrm>
        <a:prstGeom prst="roundRect">
          <a:avLst>
            <a:gd fmla="val 16667" name="adj"/>
          </a:avLst>
        </a:prstGeom>
        <a:gradFill>
          <a:gsLst>
            <a:gs pos="0">
              <a:srgbClr val="DFEAFB"/>
            </a:gs>
            <a:gs pos="100000">
              <a:srgbClr val="6E9CE7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Récup. Mana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8</xdr:col>
      <xdr:colOff>180975</xdr:colOff>
      <xdr:row>8</xdr:row>
      <xdr:rowOff>209550</xdr:rowOff>
    </xdr:from>
    <xdr:ext cx="1457325" cy="381000"/>
    <xdr:sp>
      <xdr:nvSpPr>
        <xdr:cNvPr id="21" name="Shape 21"/>
        <xdr:cNvSpPr/>
      </xdr:nvSpPr>
      <xdr:spPr>
        <a:xfrm>
          <a:off x="3599325" y="1800250"/>
          <a:ext cx="1440600" cy="358800"/>
        </a:xfrm>
        <a:prstGeom prst="roundRect">
          <a:avLst>
            <a:gd fmla="val 16667" name="adj"/>
          </a:avLst>
        </a:prstGeom>
        <a:gradFill>
          <a:gsLst>
            <a:gs pos="0">
              <a:srgbClr val="FFFFFF"/>
            </a:gs>
            <a:gs pos="100000">
              <a:srgbClr val="B3B3B3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300">
              <a:latin typeface="Times New Roman"/>
              <a:ea typeface="Times New Roman"/>
              <a:cs typeface="Times New Roman"/>
              <a:sym typeface="Times New Roman"/>
            </a:rPr>
            <a:t>Attaque (Base)</a:t>
          </a:r>
          <a:endParaRPr sz="13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19</xdr:col>
      <xdr:colOff>238125</xdr:colOff>
      <xdr:row>53</xdr:row>
      <xdr:rowOff>104775</xdr:rowOff>
    </xdr:from>
    <xdr:ext cx="3629025" cy="714375"/>
    <xdr:sp>
      <xdr:nvSpPr>
        <xdr:cNvPr id="44" name="Shape 44"/>
        <xdr:cNvSpPr/>
      </xdr:nvSpPr>
      <xdr:spPr>
        <a:xfrm>
          <a:off x="3575350" y="2494800"/>
          <a:ext cx="3609900" cy="694200"/>
        </a:xfrm>
        <a:prstGeom prst="rect">
          <a:avLst/>
        </a:prstGeom>
        <a:gradFill>
          <a:gsLst>
            <a:gs pos="0">
              <a:srgbClr val="D4E5F5"/>
            </a:gs>
            <a:gs pos="100000">
              <a:srgbClr val="70A4D5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Réverbération lunaire</a:t>
          </a:r>
          <a:endParaRPr sz="1400"/>
        </a:p>
      </xdr:txBody>
    </xdr:sp>
    <xdr:clientData fLocksWithSheet="0"/>
  </xdr:oneCellAnchor>
  <xdr:oneCellAnchor>
    <xdr:from>
      <xdr:col>22</xdr:col>
      <xdr:colOff>180975</xdr:colOff>
      <xdr:row>53</xdr:row>
      <xdr:rowOff>57150</xdr:rowOff>
    </xdr:from>
    <xdr:ext cx="4181475" cy="819150"/>
    <xdr:sp>
      <xdr:nvSpPr>
        <xdr:cNvPr id="45" name="Shape 45"/>
        <xdr:cNvSpPr/>
      </xdr:nvSpPr>
      <xdr:spPr>
        <a:xfrm>
          <a:off x="3056650" y="1351300"/>
          <a:ext cx="4158000" cy="795900"/>
        </a:xfrm>
        <a:prstGeom prst="roundRect">
          <a:avLst>
            <a:gd fmla="val 16667" name="adj"/>
          </a:avLst>
        </a:prstGeom>
        <a:gradFill>
          <a:gsLst>
            <a:gs pos="0">
              <a:srgbClr val="D4E5F5"/>
            </a:gs>
            <a:gs pos="100000">
              <a:srgbClr val="70A4D5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Sceau de la nuit (40 ou 50 Mana)</a:t>
          </a:r>
          <a:endParaRPr sz="1400"/>
        </a:p>
      </xdr:txBody>
    </xdr:sp>
    <xdr:clientData fLocksWithSheet="0"/>
  </xdr:oneCellAnchor>
  <xdr:oneCellAnchor>
    <xdr:from>
      <xdr:col>22</xdr:col>
      <xdr:colOff>742950</xdr:colOff>
      <xdr:row>56</xdr:row>
      <xdr:rowOff>95250</xdr:rowOff>
    </xdr:from>
    <xdr:ext cx="2962275" cy="676275"/>
    <xdr:sp>
      <xdr:nvSpPr>
        <xdr:cNvPr id="46" name="Shape 46"/>
        <xdr:cNvSpPr/>
      </xdr:nvSpPr>
      <xdr:spPr>
        <a:xfrm>
          <a:off x="2011925" y="621250"/>
          <a:ext cx="2943900" cy="659700"/>
        </a:xfrm>
        <a:prstGeom prst="frame">
          <a:avLst>
            <a:gd fmla="val 12500" name="adj1"/>
          </a:avLst>
        </a:prstGeom>
        <a:gradFill>
          <a:gsLst>
            <a:gs pos="0">
              <a:srgbClr val="D4E5F5"/>
            </a:gs>
            <a:gs pos="100000">
              <a:srgbClr val="70A4D5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Gravité Astrale (80 Mana)</a:t>
          </a:r>
          <a:endParaRPr sz="1400"/>
        </a:p>
      </xdr:txBody>
    </xdr:sp>
    <xdr:clientData fLocksWithSheet="0"/>
  </xdr:oneCellAnchor>
  <xdr:oneCellAnchor>
    <xdr:from>
      <xdr:col>19</xdr:col>
      <xdr:colOff>561975</xdr:colOff>
      <xdr:row>56</xdr:row>
      <xdr:rowOff>152400</xdr:rowOff>
    </xdr:from>
    <xdr:ext cx="2981325" cy="800100"/>
    <xdr:sp>
      <xdr:nvSpPr>
        <xdr:cNvPr id="47" name="Shape 47"/>
        <xdr:cNvSpPr/>
      </xdr:nvSpPr>
      <xdr:spPr>
        <a:xfrm>
          <a:off x="1356325" y="1229875"/>
          <a:ext cx="2961000" cy="781800"/>
        </a:xfrm>
        <a:prstGeom prst="leftRightArrow">
          <a:avLst>
            <a:gd fmla="val 50000" name="adj1"/>
            <a:gd fmla="val 50000" name="adj2"/>
          </a:avLst>
        </a:prstGeom>
        <a:gradFill>
          <a:gsLst>
            <a:gs pos="0">
              <a:srgbClr val="D4E5F5"/>
            </a:gs>
            <a:gs pos="100000">
              <a:srgbClr val="70A4D5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Dualité (30 Mana)</a:t>
          </a:r>
          <a:endParaRPr sz="1400"/>
        </a:p>
      </xdr:txBody>
    </xdr:sp>
    <xdr:clientData fLocksWithSheet="0"/>
  </xdr:oneCellAnchor>
  <xdr:oneCellAnchor>
    <xdr:from>
      <xdr:col>19</xdr:col>
      <xdr:colOff>895350</xdr:colOff>
      <xdr:row>58</xdr:row>
      <xdr:rowOff>333375</xdr:rowOff>
    </xdr:from>
    <xdr:ext cx="2314575" cy="2095500"/>
    <xdr:grpSp>
      <xdr:nvGrpSpPr>
        <xdr:cNvPr id="2" name="Shape 2" title="Dessin"/>
        <xdr:cNvGrpSpPr/>
      </xdr:nvGrpSpPr>
      <xdr:grpSpPr>
        <a:xfrm>
          <a:off x="1362250" y="479125"/>
          <a:ext cx="2294100" cy="2071800"/>
          <a:chOff x="1362250" y="479125"/>
          <a:chExt cx="2294100" cy="2071800"/>
        </a:xfrm>
      </xdr:grpSpPr>
      <xdr:sp>
        <xdr:nvSpPr>
          <xdr:cNvPr id="48" name="Shape 48"/>
          <xdr:cNvSpPr/>
        </xdr:nvSpPr>
        <xdr:spPr>
          <a:xfrm>
            <a:off x="1362250" y="479125"/>
            <a:ext cx="2294100" cy="2071800"/>
          </a:xfrm>
          <a:prstGeom prst="noSmoking">
            <a:avLst>
              <a:gd fmla="val 18750" name="adj"/>
            </a:avLst>
          </a:prstGeom>
          <a:gradFill>
            <a:gsLst>
              <a:gs pos="0">
                <a:srgbClr val="D4E5F5"/>
              </a:gs>
              <a:gs pos="100000">
                <a:srgbClr val="70A4D5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400"/>
          </a:p>
        </xdr:txBody>
      </xdr:sp>
      <xdr:sp>
        <xdr:nvSpPr>
          <xdr:cNvPr id="49" name="Shape 49"/>
          <xdr:cNvSpPr txBox="1"/>
        </xdr:nvSpPr>
        <xdr:spPr>
          <a:xfrm rot="2494854">
            <a:off x="1876261" y="1272173"/>
            <a:ext cx="1301838" cy="501935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Fin dualité</a:t>
            </a:r>
            <a:endParaRPr sz="1400"/>
          </a:p>
        </xdr:txBody>
      </xdr:sp>
    </xdr:grpSp>
    <xdr:clientData fLocksWithSheet="0"/>
  </xdr:oneCellAnchor>
  <xdr:oneCellAnchor>
    <xdr:from>
      <xdr:col>14</xdr:col>
      <xdr:colOff>1028700</xdr:colOff>
      <xdr:row>51</xdr:row>
      <xdr:rowOff>352425</xdr:rowOff>
    </xdr:from>
    <xdr:ext cx="2876550" cy="4981575"/>
    <xdr:grpSp>
      <xdr:nvGrpSpPr>
        <xdr:cNvPr id="2" name="Shape 2" title="Dessin"/>
        <xdr:cNvGrpSpPr/>
      </xdr:nvGrpSpPr>
      <xdr:grpSpPr>
        <a:xfrm>
          <a:off x="2175275" y="443550"/>
          <a:ext cx="2862000" cy="4964700"/>
          <a:chOff x="2175275" y="443550"/>
          <a:chExt cx="2862000" cy="4964700"/>
        </a:xfrm>
      </xdr:grpSpPr>
      <xdr:sp>
        <xdr:nvSpPr>
          <xdr:cNvPr id="50" name="Shape 50"/>
          <xdr:cNvSpPr/>
        </xdr:nvSpPr>
        <xdr:spPr>
          <a:xfrm>
            <a:off x="2175275" y="443550"/>
            <a:ext cx="2862000" cy="4964700"/>
          </a:xfrm>
          <a:prstGeom prst="moon">
            <a:avLst>
              <a:gd fmla="val 59250" name="adj"/>
            </a:avLst>
          </a:prstGeom>
          <a:gradFill>
            <a:gsLst>
              <a:gs pos="0">
                <a:srgbClr val="DBD4EB"/>
              </a:gs>
              <a:gs pos="100000">
                <a:srgbClr val="9080BB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51" name="Shape 51"/>
          <xdr:cNvSpPr txBox="1"/>
        </xdr:nvSpPr>
        <xdr:spPr>
          <a:xfrm>
            <a:off x="2175275" y="2433241"/>
            <a:ext cx="1695600" cy="917400"/>
          </a:xfrm>
          <a:prstGeom prst="rect">
            <a:avLst/>
          </a:prstGeom>
          <a:noFill/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Manifestation du grand cycle</a:t>
            </a:r>
            <a:endParaRPr sz="1400"/>
          </a:p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(50-75-100 Mana)</a:t>
            </a:r>
            <a:endParaRPr sz="1400"/>
          </a:p>
        </xdr:txBody>
      </xdr:sp>
    </xdr:grpSp>
    <xdr:clientData fLocksWithSheet="0"/>
  </xdr:oneCellAnchor>
  <xdr:oneCellAnchor>
    <xdr:from>
      <xdr:col>16</xdr:col>
      <xdr:colOff>1295400</xdr:colOff>
      <xdr:row>51</xdr:row>
      <xdr:rowOff>361950</xdr:rowOff>
    </xdr:from>
    <xdr:ext cx="2990850" cy="4972050"/>
    <xdr:grpSp>
      <xdr:nvGrpSpPr>
        <xdr:cNvPr id="2" name="Shape 2" title="Dessin"/>
        <xdr:cNvGrpSpPr/>
      </xdr:nvGrpSpPr>
      <xdr:grpSpPr>
        <a:xfrm>
          <a:off x="2185150" y="532375"/>
          <a:ext cx="2975064" cy="4950600"/>
          <a:chOff x="2185150" y="532375"/>
          <a:chExt cx="2975064" cy="4950600"/>
        </a:xfrm>
      </xdr:grpSpPr>
      <xdr:sp>
        <xdr:nvSpPr>
          <xdr:cNvPr id="52" name="Shape 52"/>
          <xdr:cNvSpPr/>
        </xdr:nvSpPr>
        <xdr:spPr>
          <a:xfrm flipH="1">
            <a:off x="2185150" y="532375"/>
            <a:ext cx="2869800" cy="4950600"/>
          </a:xfrm>
          <a:prstGeom prst="moon">
            <a:avLst>
              <a:gd fmla="val 62422" name="adj"/>
            </a:avLst>
          </a:prstGeom>
          <a:gradFill>
            <a:gsLst>
              <a:gs pos="0">
                <a:srgbClr val="DFEAFB"/>
              </a:gs>
              <a:gs pos="100000">
                <a:srgbClr val="6E9CE7"/>
              </a:gs>
            </a:gsLst>
            <a:path path="circle">
              <a:fillToRect b="50%" l="50%" r="50%" t="50%"/>
            </a:path>
            <a:tileRect/>
          </a:gra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b="1" sz="1600"/>
          </a:p>
        </xdr:txBody>
      </xdr:sp>
      <xdr:sp>
        <xdr:nvSpPr>
          <xdr:cNvPr id="53" name="Shape 53"/>
          <xdr:cNvSpPr txBox="1"/>
        </xdr:nvSpPr>
        <xdr:spPr>
          <a:xfrm>
            <a:off x="3152014" y="2524283"/>
            <a:ext cx="2008200" cy="818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600"/>
              <a:t>Manifestation du grand cycle (50-75-100 Mana)</a:t>
            </a:r>
            <a:endParaRPr sz="1400"/>
          </a:p>
        </xdr:txBody>
      </xdr:sp>
    </xdr:grpSp>
    <xdr:clientData fLocksWithSheet="0"/>
  </xdr:oneCellAnchor>
  <xdr:oneCellAnchor>
    <xdr:from>
      <xdr:col>22</xdr:col>
      <xdr:colOff>1190625</xdr:colOff>
      <xdr:row>58</xdr:row>
      <xdr:rowOff>257175</xdr:rowOff>
    </xdr:from>
    <xdr:ext cx="2171700" cy="2247900"/>
    <xdr:sp>
      <xdr:nvSpPr>
        <xdr:cNvPr id="54" name="Shape 54"/>
        <xdr:cNvSpPr/>
      </xdr:nvSpPr>
      <xdr:spPr>
        <a:xfrm flipH="1">
          <a:off x="3678000" y="2606800"/>
          <a:ext cx="2152800" cy="2225100"/>
        </a:xfrm>
        <a:prstGeom prst="ellipse">
          <a:avLst/>
        </a:prstGeom>
        <a:gradFill>
          <a:gsLst>
            <a:gs pos="0">
              <a:srgbClr val="D4E5F5"/>
            </a:gs>
            <a:gs pos="100000">
              <a:srgbClr val="70A4D5"/>
            </a:gs>
          </a:gsLst>
          <a:path path="circle">
            <a:fillToRect b="50%" l="50%" r="50%" t="50%"/>
          </a:path>
          <a:tileRect/>
        </a:gra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600"/>
            <a:t>Identité lunaire</a:t>
          </a:r>
          <a:endParaRPr sz="1600"/>
        </a:p>
      </xdr:txBody>
    </xdr:sp>
    <xdr:clientData fLocksWithSheet="0"/>
  </xdr:oneCellAnchor>
  <xdr:oneCellAnchor>
    <xdr:from>
      <xdr:col>8</xdr:col>
      <xdr:colOff>1647825</xdr:colOff>
      <xdr:row>12</xdr:row>
      <xdr:rowOff>266700</xdr:rowOff>
    </xdr:from>
    <xdr:ext cx="2343150" cy="2238375"/>
    <xdr:sp>
      <xdr:nvSpPr>
        <xdr:cNvPr id="55" name="Shape 55"/>
        <xdr:cNvSpPr/>
      </xdr:nvSpPr>
      <xdr:spPr>
        <a:xfrm>
          <a:off x="2996400" y="1587500"/>
          <a:ext cx="2321700" cy="2222400"/>
        </a:xfrm>
        <a:prstGeom prst="mathPlus">
          <a:avLst>
            <a:gd fmla="val 23520" name="adj1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Passif</a:t>
          </a:r>
          <a:endParaRPr sz="1400"/>
        </a:p>
      </xdr:txBody>
    </xdr:sp>
    <xdr:clientData fLocksWithSheet="0"/>
  </xdr:oneCellAnchor>
  <xdr:oneCellAnchor>
    <xdr:from>
      <xdr:col>10</xdr:col>
      <xdr:colOff>1228725</xdr:colOff>
      <xdr:row>12</xdr:row>
      <xdr:rowOff>104775</xdr:rowOff>
    </xdr:from>
    <xdr:ext cx="2609850" cy="2562225"/>
    <xdr:sp>
      <xdr:nvSpPr>
        <xdr:cNvPr id="56" name="Shape 56"/>
        <xdr:cNvSpPr/>
      </xdr:nvSpPr>
      <xdr:spPr>
        <a:xfrm>
          <a:off x="4757125" y="991750"/>
          <a:ext cx="2588400" cy="2538900"/>
        </a:xfrm>
        <a:prstGeom prst="star8">
          <a:avLst>
            <a:gd fmla="val 37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Comp. 1 (10 Mana)</a:t>
          </a:r>
          <a:endParaRPr sz="1400"/>
        </a:p>
      </xdr:txBody>
    </xdr:sp>
    <xdr:clientData fLocksWithSheet="0"/>
  </xdr:oneCellAnchor>
  <xdr:oneCellAnchor>
    <xdr:from>
      <xdr:col>12</xdr:col>
      <xdr:colOff>1152525</xdr:colOff>
      <xdr:row>12</xdr:row>
      <xdr:rowOff>104775</xdr:rowOff>
    </xdr:from>
    <xdr:ext cx="2524125" cy="2571750"/>
    <xdr:sp>
      <xdr:nvSpPr>
        <xdr:cNvPr id="57" name="Shape 57"/>
        <xdr:cNvSpPr/>
      </xdr:nvSpPr>
      <xdr:spPr>
        <a:xfrm>
          <a:off x="3985800" y="740950"/>
          <a:ext cx="2509200" cy="2548800"/>
        </a:xfrm>
        <a:prstGeom prst="quadArrow">
          <a:avLst>
            <a:gd fmla="val 22500" name="adj1"/>
            <a:gd fmla="val 22500" name="adj2"/>
            <a:gd fmla="val 22500" name="adj3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Comp. 2 (30 Mana) CD 2</a:t>
          </a:r>
          <a:endParaRPr sz="1400"/>
        </a:p>
      </xdr:txBody>
    </xdr:sp>
    <xdr:clientData fLocksWithSheet="0"/>
  </xdr:oneCellAnchor>
  <xdr:oneCellAnchor>
    <xdr:from>
      <xdr:col>14</xdr:col>
      <xdr:colOff>1228725</xdr:colOff>
      <xdr:row>13</xdr:row>
      <xdr:rowOff>209550</xdr:rowOff>
    </xdr:from>
    <xdr:ext cx="3352800" cy="1590675"/>
    <xdr:sp>
      <xdr:nvSpPr>
        <xdr:cNvPr id="58" name="Shape 58"/>
        <xdr:cNvSpPr/>
      </xdr:nvSpPr>
      <xdr:spPr>
        <a:xfrm>
          <a:off x="2942225" y="1031425"/>
          <a:ext cx="3332400" cy="1566900"/>
        </a:xfrm>
        <a:prstGeom prst="downArrowCallout">
          <a:avLst>
            <a:gd fmla="val 25000" name="adj1"/>
            <a:gd fmla="val 25000" name="adj2"/>
            <a:gd fmla="val 25000" name="adj3"/>
            <a:gd fmla="val 64977" name="adj4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Comp. 3 (30 Mana) CD 3</a:t>
          </a:r>
          <a:endParaRPr sz="1400"/>
        </a:p>
      </xdr:txBody>
    </xdr:sp>
    <xdr:clientData fLocksWithSheet="0"/>
  </xdr:oneCellAnchor>
  <xdr:oneCellAnchor>
    <xdr:from>
      <xdr:col>17</xdr:col>
      <xdr:colOff>723900</xdr:colOff>
      <xdr:row>11</xdr:row>
      <xdr:rowOff>219075</xdr:rowOff>
    </xdr:from>
    <xdr:ext cx="3629025" cy="3105150"/>
    <xdr:sp>
      <xdr:nvSpPr>
        <xdr:cNvPr id="59" name="Shape 59"/>
        <xdr:cNvSpPr/>
      </xdr:nvSpPr>
      <xdr:spPr>
        <a:xfrm>
          <a:off x="3924050" y="1973600"/>
          <a:ext cx="3610008" cy="3084372"/>
        </a:xfrm>
        <a:prstGeom prst="irregularSeal1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Comp. 4 (60 Mana)</a:t>
          </a:r>
          <a:endParaRPr sz="1400"/>
        </a:p>
      </xdr:txBody>
    </xdr:sp>
    <xdr:clientData fLocksWithSheet="0"/>
  </xdr:oneCellAnchor>
  <xdr:oneCellAnchor>
    <xdr:from>
      <xdr:col>8</xdr:col>
      <xdr:colOff>152400</xdr:colOff>
      <xdr:row>10</xdr:row>
      <xdr:rowOff>152400</xdr:rowOff>
    </xdr:from>
    <xdr:ext cx="1419225" cy="514350"/>
    <xdr:sp>
      <xdr:nvSpPr>
        <xdr:cNvPr id="60" name="Shape 60"/>
        <xdr:cNvSpPr/>
      </xdr:nvSpPr>
      <xdr:spPr>
        <a:xfrm>
          <a:off x="2296000" y="808825"/>
          <a:ext cx="1398300" cy="4959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Attaque furtive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3:D31" displayName="Tableau1" name="Tableau1" id="1">
  <tableColumns count="4">
    <tableColumn name="Niveau" id="1"/>
    <tableColumn name="Points gagnés" id="2"/>
    <tableColumn name="Total des points" id="3"/>
    <tableColumn name="Limite stats" id="4"/>
  </tableColumns>
  <tableStyleInfo name="Statistiques-style" showColumnStripes="0" showFirstColumn="1" showLastColumn="1" showRowStripes="1"/>
</table>
</file>

<file path=xl/tables/table2.xml><?xml version="1.0" encoding="utf-8"?>
<table xmlns="http://schemas.openxmlformats.org/spreadsheetml/2006/main" ref="A13:D31" displayName="Tableau1_3" name="Tableau1_3" id="2">
  <tableColumns count="4">
    <tableColumn name="Niveau" id="1"/>
    <tableColumn name="Points gagnés" id="2"/>
    <tableColumn name="Total des points" id="3"/>
    <tableColumn name="Limite stats" id="4"/>
  </tableColumns>
  <tableStyleInfo name="Stats Erwan-style" showColumnStripes="0" showFirstColumn="1" showLastColumn="1" showRowStripes="1"/>
</table>
</file>

<file path=xl/tables/table3.xml><?xml version="1.0" encoding="utf-8"?>
<table xmlns="http://schemas.openxmlformats.org/spreadsheetml/2006/main" ref="A1:H17" displayName="Tableau2_3" name="Tableau2_3" id="3">
  <tableColumns count="8">
    <tableColumn name="Colonne 1" id="1"/>
    <tableColumn name="Valeurs stats" id="2"/>
    <tableColumn name="Modificateurs" id="3"/>
    <tableColumn name="Valeurs max" id="4"/>
    <tableColumn name="Valeurs avant buffs/débuffs" id="5"/>
    <tableColumn name="Valeurs effectives" id="6"/>
    <tableColumn name="Buffs/Débuffs" id="7"/>
    <tableColumn name="Colonne 2" id="8"/>
  </tableColumns>
  <tableStyleInfo name="Grille Erwan-style" showColumnStripes="0" showFirstColumn="1" showLastColumn="1" showRowStripes="1"/>
</table>
</file>

<file path=xl/tables/table4.xml><?xml version="1.0" encoding="utf-8"?>
<table xmlns="http://schemas.openxmlformats.org/spreadsheetml/2006/main" ref="B26:E38" displayName="Inventaire" name="Inventaire" id="4">
  <tableColumns count="4">
    <tableColumn name="Catégorie d'objet" id="1"/>
    <tableColumn name="Nom d'objet" id="2"/>
    <tableColumn name="Quantité" id="3"/>
    <tableColumn name="Commentaires" id="4"/>
  </tableColumns>
  <tableStyleInfo name="Grille Erwan-style 2" showColumnStripes="0" showFirstColumn="1" showLastColumn="1" showRowStripes="1"/>
</table>
</file>

<file path=xl/tables/table5.xml><?xml version="1.0" encoding="utf-8"?>
<table xmlns="http://schemas.openxmlformats.org/spreadsheetml/2006/main" ref="A13:D31" displayName="Tableau1_5" name="Tableau1_5" id="5">
  <tableColumns count="4">
    <tableColumn name="Niveau" id="1"/>
    <tableColumn name="Points gagnés" id="2"/>
    <tableColumn name="Total des points" id="3"/>
    <tableColumn name="Limite stats" id="4"/>
  </tableColumns>
  <tableStyleInfo name="Stats Bap-style" showColumnStripes="0" showFirstColumn="1" showLastColumn="1" showRowStripes="1"/>
</table>
</file>

<file path=xl/tables/table6.xml><?xml version="1.0" encoding="utf-8"?>
<table xmlns="http://schemas.openxmlformats.org/spreadsheetml/2006/main" ref="A1:H17" displayName="Tableau2" name="Tableau2" id="6">
  <tableColumns count="8">
    <tableColumn name="Colonne 1" id="1"/>
    <tableColumn name="Valeurs stats" id="2"/>
    <tableColumn name="Modificateurs" id="3"/>
    <tableColumn name="Valeurs max" id="4"/>
    <tableColumn name="Valeurs actuels" id="5"/>
    <tableColumn name="Colonne 3" id="6"/>
    <tableColumn name="Buffs/Débuffs" id="7"/>
    <tableColumn name="Colonne 2" id="8"/>
  </tableColumns>
  <tableStyleInfo name="Grille Personnage-style" showColumnStripes="0" showFirstColumn="1" showLastColumn="1" showRowStripes="1"/>
</table>
</file>

<file path=xl/tables/table7.xml><?xml version="1.0" encoding="utf-8"?>
<table xmlns="http://schemas.openxmlformats.org/spreadsheetml/2006/main" ref="A1:I17" displayName="Tableau2_5" name="Tableau2_5" id="7">
  <tableColumns count="9">
    <tableColumn name="Colonne 1" id="1"/>
    <tableColumn name="Valeurs stats" id="2"/>
    <tableColumn name="Modificateurs" id="3"/>
    <tableColumn name="Valeurs max" id="4"/>
    <tableColumn name="Valeurs avant buff/débuff" id="5"/>
    <tableColumn name="Valeurs effectives" id="6"/>
    <tableColumn name="Buffs/Débuffs" id="7"/>
    <tableColumn name="Colonne 2" id="8"/>
    <tableColumn name="Colonne 3" id="9"/>
  </tableColumns>
  <tableStyleInfo name="Grille Baptiste-style" showColumnStripes="0" showFirstColumn="1" showLastColumn="1" showRowStripes="1"/>
</table>
</file>

<file path=xl/tables/table8.xml><?xml version="1.0" encoding="utf-8"?>
<table xmlns="http://schemas.openxmlformats.org/spreadsheetml/2006/main" ref="B23:E37" displayName="Tableau3" name="Tableau3" id="8">
  <tableColumns count="4">
    <tableColumn name="Catégorie d'objet" id="1"/>
    <tableColumn name="Nom d'objet" id="2"/>
    <tableColumn name="Quantité" id="3"/>
    <tableColumn name="Commentaires" id="4"/>
  </tableColumns>
  <tableStyleInfo name="Grille Baptiste-style 2" showColumnStripes="0" showFirstColumn="1" showLastColumn="1" showRowStripes="1"/>
</table>
</file>

<file path=xl/tables/table9.xml><?xml version="1.0" encoding="utf-8"?>
<table xmlns="http://schemas.openxmlformats.org/spreadsheetml/2006/main" ref="A13:D31" displayName="Tableau1_6" name="Tableau1_6" id="9">
  <tableColumns count="4">
    <tableColumn name="Niveau" id="1"/>
    <tableColumn name="Points gagnés" id="2"/>
    <tableColumn name="Total des points" id="3"/>
    <tableColumn name="Limite stats" id="4"/>
  </tableColumns>
  <tableStyleInfo name="Stats JB-style" showColumnStripes="0" showFirstColumn="1" showLastColumn="1" showRowStripes="1"/>
</table>
</file>

<file path=xl/tables/table10.xml><?xml version="1.0" encoding="utf-8"?>
<table xmlns="http://schemas.openxmlformats.org/spreadsheetml/2006/main" ref="A1:H17" displayName="Tableau2_6" name="Tableau2_6" id="10">
  <tableColumns count="8">
    <tableColumn name="Colonne 1" id="1"/>
    <tableColumn name="Valeurs stats" id="2"/>
    <tableColumn name="Modificateurs" id="3"/>
    <tableColumn name="Valeurs max" id="4"/>
    <tableColumn name="Valeurs avant buff/débuff" id="5"/>
    <tableColumn name="Valeurs effectives" id="6"/>
    <tableColumn name="Buffs/Débuffs" id="7"/>
    <tableColumn name="Colonne 2" id="8"/>
  </tableColumns>
  <tableStyleInfo name="Grille JB-style" showColumnStripes="0" showFirstColumn="1" showLastColumn="1" showRowStripes="1"/>
</table>
</file>

<file path=xl/tables/table11.xml><?xml version="1.0" encoding="utf-8"?>
<table xmlns="http://schemas.openxmlformats.org/spreadsheetml/2006/main" ref="B23:E32" displayName="Tableau4" name="Tableau4" id="11">
  <tableColumns count="4">
    <tableColumn name="Catégorie d'objet" id="1"/>
    <tableColumn name="Nom d'objet" id="2"/>
    <tableColumn name="Quantité" id="3"/>
    <tableColumn name="Commentaires" id="4"/>
  </tableColumns>
  <tableStyleInfo name="Grille JB-style 2" showColumnStripes="0" showFirstColumn="1" showLastColumn="1" showRowStripes="1"/>
</table>
</file>

<file path=xl/tables/table12.xml><?xml version="1.0" encoding="utf-8"?>
<table xmlns="http://schemas.openxmlformats.org/spreadsheetml/2006/main" ref="A13:D31" displayName="Tableau1_4" name="Tableau1_4" id="12">
  <tableColumns count="4">
    <tableColumn name="Niveau" id="1"/>
    <tableColumn name="Points gagnés" id="2"/>
    <tableColumn name="Total des points" id="3"/>
    <tableColumn name="Limite stats" id="4"/>
  </tableColumns>
  <tableStyleInfo name="Stats Steph-style" showColumnStripes="0" showFirstColumn="1" showLastColumn="1" showRowStripes="1"/>
</table>
</file>

<file path=xl/tables/table13.xml><?xml version="1.0" encoding="utf-8"?>
<table xmlns="http://schemas.openxmlformats.org/spreadsheetml/2006/main" ref="A1:H17" displayName="Tableau2_4" name="Tableau2_4" id="13">
  <tableColumns count="8">
    <tableColumn name="Colonne 1" id="1"/>
    <tableColumn name="Valeurs stats" id="2"/>
    <tableColumn name="Modificateurs" id="3"/>
    <tableColumn name="Valeurs max" id="4"/>
    <tableColumn name="Valeurs avant buff/débuff" id="5"/>
    <tableColumn name="Valeurs effectives" id="6"/>
    <tableColumn name="Buffs/Débuffs" id="7"/>
    <tableColumn name="Colonne 2" id="8"/>
  </tableColumns>
  <tableStyleInfo name="Grille Steph-style" showColumnStripes="0" showFirstColumn="1" showLastColumn="1" showRowStripes="1"/>
</table>
</file>

<file path=xl/tables/table14.xml><?xml version="1.0" encoding="utf-8"?>
<table xmlns="http://schemas.openxmlformats.org/spreadsheetml/2006/main" ref="B24:E36" displayName="Tableau5" name="Tableau5" id="14">
  <tableColumns count="4">
    <tableColumn name="Catégorie d'objet" id="1"/>
    <tableColumn name="Nom d'objet" id="2"/>
    <tableColumn name="Quantité" id="3"/>
    <tableColumn name="Commentaires" id="4"/>
  </tableColumns>
  <tableStyleInfo name="Grille Steph-style 2" showColumnStripes="0" showFirstColumn="1" showLastColumn="1" showRowStripes="1"/>
</table>
</file>

<file path=xl/tables/table15.xml><?xml version="1.0" encoding="utf-8"?>
<table xmlns="http://schemas.openxmlformats.org/spreadsheetml/2006/main" ref="A13:D31" displayName="Tableau1_2" name="Tableau1_2" id="15">
  <tableColumns count="4">
    <tableColumn name="Niveau" id="1"/>
    <tableColumn name="Points gagnés" id="2"/>
    <tableColumn name="Total des points" id="3"/>
    <tableColumn name="Limite stats" id="4"/>
  </tableColumns>
  <tableStyleInfo name="Stats Fab-style" showColumnStripes="0" showFirstColumn="1" showLastColumn="1" showRowStripes="1"/>
</table>
</file>

<file path=xl/tables/table16.xml><?xml version="1.0" encoding="utf-8"?>
<table xmlns="http://schemas.openxmlformats.org/spreadsheetml/2006/main" ref="A1:H17" displayName="Tableau2_2" name="Tableau2_2" id="16">
  <tableColumns count="8">
    <tableColumn name="Colonne 1" id="1"/>
    <tableColumn name="Valeurs stats" id="2"/>
    <tableColumn name="Modificateurs" id="3"/>
    <tableColumn name="Valeurs max" id="4"/>
    <tableColumn name="Valeurs avant buff/débuff" id="5"/>
    <tableColumn name="Valeurs effectives" id="6"/>
    <tableColumn name="Buffs/Débuffs" id="7"/>
    <tableColumn name="Colonne 2" id="8"/>
  </tableColumns>
  <tableStyleInfo name="Grille Fab-style" showColumnStripes="0" showFirstColumn="1" showLastColumn="1" showRowStripes="1"/>
</table>
</file>

<file path=xl/tables/table17.xml><?xml version="1.0" encoding="utf-8"?>
<table xmlns="http://schemas.openxmlformats.org/spreadsheetml/2006/main" ref="B23:E36" displayName="Tableau6" name="Tableau6" id="17">
  <tableColumns count="4">
    <tableColumn name="Catégorie d'objet" id="1"/>
    <tableColumn name="Nom d'objet" id="2"/>
    <tableColumn name="Quantité" id="3"/>
    <tableColumn name="Commentaires" id="4"/>
  </tableColumns>
  <tableStyleInfo name="Grille Fab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10.xml"/><Relationship Id="rId5" Type="http://schemas.openxmlformats.org/officeDocument/2006/relationships/table" Target="../tables/table1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2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3.xml"/><Relationship Id="rId5" Type="http://schemas.openxmlformats.org/officeDocument/2006/relationships/table" Target="../tables/table14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38"/>
  </cols>
  <sheetData>
    <row r="1" ht="26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</row>
    <row r="2" ht="26.25" customHeight="1">
      <c r="A2" s="10">
        <v>20.0</v>
      </c>
      <c r="B2" s="11">
        <v>2.0</v>
      </c>
      <c r="C2" s="11">
        <v>5.0</v>
      </c>
      <c r="D2" s="12">
        <v>2.0</v>
      </c>
      <c r="E2" s="13">
        <f>SUM(A2:D2)</f>
        <v>29</v>
      </c>
      <c r="F2" s="6"/>
      <c r="G2" s="14">
        <f>H2+I2</f>
        <v>6245</v>
      </c>
      <c r="H2" s="15">
        <f> 10 + CEILING(MIN(A2,16)*75 + MIN(D2,16)*5 + MIN(C2,16)*45, 1)</f>
        <v>1445</v>
      </c>
      <c r="I2" s="16">
        <f>CEILING(MAX(A2-16,0)^2*300 + MAX(D2-16,0)^2*25 + MAX(C2-16,0)^2*175,1)</f>
        <v>4800</v>
      </c>
    </row>
    <row r="3" ht="26.25" customHeight="1">
      <c r="A3" s="17" t="s">
        <v>8</v>
      </c>
      <c r="B3" s="18" t="s">
        <v>9</v>
      </c>
      <c r="C3" s="18" t="s">
        <v>10</v>
      </c>
      <c r="D3" s="19"/>
      <c r="E3" s="18">
        <v>27.0</v>
      </c>
      <c r="F3" s="6"/>
      <c r="G3" s="20" t="s">
        <v>11</v>
      </c>
      <c r="H3" s="8" t="s">
        <v>12</v>
      </c>
      <c r="I3" s="9" t="s">
        <v>13</v>
      </c>
    </row>
    <row r="4" ht="26.25" customHeight="1">
      <c r="A4" s="21"/>
      <c r="B4" s="18" t="s">
        <v>14</v>
      </c>
      <c r="C4" s="18" t="s">
        <v>15</v>
      </c>
      <c r="D4" s="22" t="s">
        <v>16</v>
      </c>
      <c r="E4" s="6"/>
      <c r="F4" s="6"/>
      <c r="G4" s="14">
        <f>H4+I4</f>
        <v>350</v>
      </c>
      <c r="H4" s="15">
        <f> 10 + CEILING(MIN(B2,16)*20 + MIN(D2,16)*75 + MIN(C2,16)*30, 1)</f>
        <v>350</v>
      </c>
      <c r="I4" s="16">
        <f>CEILING(MAX(D2-16,0)^2*300 + MAX(B2-16,0)^2*80 + MAX(C2-16,0)^2*120,1)</f>
        <v>0</v>
      </c>
    </row>
    <row r="5" ht="26.25" customHeight="1">
      <c r="A5" s="17" t="s">
        <v>17</v>
      </c>
      <c r="B5" s="6"/>
      <c r="C5" s="18" t="s">
        <v>18</v>
      </c>
      <c r="D5" s="22" t="s">
        <v>19</v>
      </c>
      <c r="E5" s="6"/>
      <c r="F5" s="6"/>
      <c r="G5" s="23" t="s">
        <v>20</v>
      </c>
      <c r="H5" s="8" t="s">
        <v>21</v>
      </c>
      <c r="I5" s="9" t="s">
        <v>22</v>
      </c>
    </row>
    <row r="6" ht="26.25" customHeight="1">
      <c r="A6" s="21"/>
      <c r="B6" s="18" t="s">
        <v>23</v>
      </c>
      <c r="C6" s="18" t="s">
        <v>24</v>
      </c>
      <c r="D6" s="22" t="s">
        <v>25</v>
      </c>
      <c r="E6" s="6"/>
      <c r="F6" s="6"/>
      <c r="G6" s="14">
        <f>H6+I6</f>
        <v>3125</v>
      </c>
      <c r="H6" s="15">
        <f> CEILING(MIN(A2,16)*20 + MIN(B2,16)*10 + MIN(C2,16)*5, 1)</f>
        <v>365</v>
      </c>
      <c r="I6" s="16">
        <f>CEILING(MAX(A2-16,0)^2*172.5 + MAX(B2-16,0)^2*86.25 + MAX(C2-16,0)^2*28.75,1)</f>
        <v>2760</v>
      </c>
    </row>
    <row r="7" ht="26.25" customHeight="1">
      <c r="A7" s="21"/>
      <c r="B7" s="18" t="s">
        <v>26</v>
      </c>
      <c r="C7" s="6"/>
      <c r="D7" s="19"/>
      <c r="E7" s="6"/>
      <c r="F7" s="6"/>
      <c r="G7" s="24" t="s">
        <v>27</v>
      </c>
      <c r="H7" s="8" t="s">
        <v>28</v>
      </c>
      <c r="I7" s="9" t="s">
        <v>29</v>
      </c>
    </row>
    <row r="8" ht="26.25" customHeight="1">
      <c r="A8" s="21"/>
      <c r="B8" s="18" t="s">
        <v>30</v>
      </c>
      <c r="C8" s="6"/>
      <c r="D8" s="19"/>
      <c r="E8" s="6"/>
      <c r="F8" s="6"/>
      <c r="G8" s="14">
        <f>H8+I8</f>
        <v>85</v>
      </c>
      <c r="H8" s="15">
        <f>CEILING(MIN(B2,16)*10 + MIN(D2,16)*20 + MIN(C2,16)*5, 1)</f>
        <v>85</v>
      </c>
      <c r="I8" s="16">
        <f>CEILING(MAX(D2-16,0)^2*172.5 + MAX(B2-16,0)^2*86.25 + MAX(C2-16,0)^2*28.75,1)</f>
        <v>0</v>
      </c>
    </row>
    <row r="9" ht="26.25" customHeight="1">
      <c r="A9" s="17" t="s">
        <v>31</v>
      </c>
      <c r="B9" s="18" t="s">
        <v>32</v>
      </c>
      <c r="C9" s="6"/>
      <c r="D9" s="22" t="s">
        <v>31</v>
      </c>
      <c r="E9" s="6"/>
      <c r="F9" s="6"/>
      <c r="G9" s="25" t="s">
        <v>33</v>
      </c>
      <c r="H9" s="8" t="s">
        <v>34</v>
      </c>
      <c r="I9" s="9" t="s">
        <v>35</v>
      </c>
    </row>
    <row r="10" ht="26.25" customHeight="1">
      <c r="A10" s="17" t="s">
        <v>36</v>
      </c>
      <c r="B10" s="18" t="s">
        <v>37</v>
      </c>
      <c r="C10" s="18" t="s">
        <v>38</v>
      </c>
      <c r="D10" s="19"/>
      <c r="E10" s="6"/>
      <c r="F10" s="6"/>
      <c r="G10" s="14">
        <f>H10+I10</f>
        <v>328</v>
      </c>
      <c r="H10" s="26">
        <f>CEILING(MIN(A2,16)*4.5 + MIN(B2,16)*1 + MIN(C2,16)*6, 1)</f>
        <v>104</v>
      </c>
      <c r="I10" s="27">
        <f>CEILING(MAX(A2-16,0)^2*14 + MAX(C2-16,0)^2*20 + MAX(B2-16,0)^2*2,1)</f>
        <v>224</v>
      </c>
    </row>
    <row r="11" ht="26.25" customHeight="1">
      <c r="A11" s="28"/>
      <c r="B11" s="11" t="s">
        <v>39</v>
      </c>
      <c r="C11" s="11" t="s">
        <v>40</v>
      </c>
      <c r="D11" s="12" t="s">
        <v>41</v>
      </c>
      <c r="E11" s="6"/>
      <c r="F11" s="6"/>
      <c r="G11" s="24" t="s">
        <v>42</v>
      </c>
      <c r="H11" s="8" t="s">
        <v>43</v>
      </c>
      <c r="I11" s="9" t="s">
        <v>44</v>
      </c>
    </row>
    <row r="12" ht="26.25" customHeight="1">
      <c r="A12" s="6"/>
      <c r="B12" s="6"/>
      <c r="C12" s="6"/>
      <c r="D12" s="6"/>
      <c r="E12" s="6"/>
      <c r="F12" s="6"/>
      <c r="G12" s="14">
        <f>H12+I12</f>
        <v>41</v>
      </c>
      <c r="H12" s="29">
        <f>CEILING(MIN(B2,16)*1 + MIN(D2,16)*4.5 + MIN(C2,16)*6, 1)</f>
        <v>41</v>
      </c>
      <c r="I12" s="30">
        <f>CEILING(MAX(D2-16,0)^2*14 + MAX(C2-16,0)^2*20 + MAX(B2-16,0)^2*2,1)</f>
        <v>0</v>
      </c>
    </row>
    <row r="13" ht="26.25" customHeight="1">
      <c r="A13" s="31" t="s">
        <v>45</v>
      </c>
      <c r="B13" s="31" t="s">
        <v>46</v>
      </c>
      <c r="C13" s="31" t="s">
        <v>47</v>
      </c>
      <c r="D13" s="31" t="s">
        <v>48</v>
      </c>
      <c r="E13" s="6"/>
      <c r="F13" s="6"/>
      <c r="G13" s="32" t="s">
        <v>49</v>
      </c>
      <c r="H13" s="8" t="s">
        <v>50</v>
      </c>
      <c r="I13" s="33"/>
    </row>
    <row r="14" ht="26.25" customHeight="1">
      <c r="A14" s="34">
        <v>1.0</v>
      </c>
      <c r="B14" s="34" t="s">
        <v>51</v>
      </c>
      <c r="C14" s="34">
        <v>10.0</v>
      </c>
      <c r="D14" s="34">
        <v>5.0</v>
      </c>
      <c r="E14" s="6"/>
      <c r="F14" s="6"/>
      <c r="G14" s="14">
        <f>H14</f>
        <v>15</v>
      </c>
      <c r="H14" s="15">
        <f>5 + CEILING(MIN(B2,20)*5, 1)</f>
        <v>15</v>
      </c>
      <c r="I14" s="16"/>
    </row>
    <row r="15" ht="26.25" customHeight="1">
      <c r="A15" s="34">
        <v>2.0</v>
      </c>
      <c r="B15" s="34">
        <v>1.0</v>
      </c>
      <c r="C15" s="34">
        <v>11.0</v>
      </c>
      <c r="D15" s="34">
        <v>6.0</v>
      </c>
      <c r="E15" s="6"/>
      <c r="F15" s="6"/>
      <c r="G15" s="32" t="s">
        <v>52</v>
      </c>
      <c r="H15" s="8" t="s">
        <v>53</v>
      </c>
      <c r="I15" s="9" t="s">
        <v>54</v>
      </c>
    </row>
    <row r="16" ht="26.25" customHeight="1">
      <c r="A16" s="34">
        <v>3.0</v>
      </c>
      <c r="B16" s="34">
        <v>1.0</v>
      </c>
      <c r="C16" s="34">
        <v>12.0</v>
      </c>
      <c r="D16" s="34">
        <v>7.0</v>
      </c>
      <c r="E16" s="6"/>
      <c r="F16" s="6"/>
      <c r="G16" s="14">
        <f>H16+I16</f>
        <v>250</v>
      </c>
      <c r="H16" s="15">
        <f> 150 + CEILING(MIN(A2,16)*2 + MIN(D2,16)*2 + MIN(B2,16)*5, 1)</f>
        <v>196</v>
      </c>
      <c r="I16" s="16">
        <f>CEILING(MAX(A2-16,0)^2*(3+(1/3)) + MAX(D2-16,0)^2*(3+(1/3)) + MAX(B2-16,0)^2*(8+(1/3)),1)</f>
        <v>54</v>
      </c>
    </row>
    <row r="17" ht="26.25" customHeight="1">
      <c r="A17" s="34">
        <v>4.0</v>
      </c>
      <c r="B17" s="34">
        <v>2.0</v>
      </c>
      <c r="C17" s="34">
        <v>14.0</v>
      </c>
      <c r="D17" s="34">
        <v>8.0</v>
      </c>
      <c r="E17" s="6"/>
      <c r="F17" s="6"/>
      <c r="G17" s="24" t="s">
        <v>55</v>
      </c>
      <c r="H17" s="8" t="s">
        <v>56</v>
      </c>
      <c r="I17" s="9" t="s">
        <v>57</v>
      </c>
    </row>
    <row r="18" ht="26.25" customHeight="1">
      <c r="A18" s="34">
        <v>5.0</v>
      </c>
      <c r="B18" s="34">
        <v>1.0</v>
      </c>
      <c r="C18" s="34">
        <v>15.0</v>
      </c>
      <c r="D18" s="34">
        <v>9.0</v>
      </c>
      <c r="E18" s="6"/>
      <c r="F18" s="6"/>
      <c r="G18" s="35">
        <f>H18</f>
        <v>5</v>
      </c>
      <c r="H18" s="36">
        <f>CEILING(MIN(B2,16)*2.5, 1)</f>
        <v>5</v>
      </c>
      <c r="I18" s="37"/>
    </row>
    <row r="19" ht="26.25" customHeight="1">
      <c r="A19" s="34">
        <v>6.0</v>
      </c>
      <c r="B19" s="34">
        <v>2.0</v>
      </c>
      <c r="C19" s="34">
        <v>17.0</v>
      </c>
      <c r="D19" s="34">
        <v>10.0</v>
      </c>
      <c r="E19" s="6"/>
      <c r="F19" s="6"/>
      <c r="G19" s="6"/>
      <c r="H19" s="6"/>
      <c r="I19" s="6"/>
    </row>
    <row r="20" ht="26.25" customHeight="1">
      <c r="A20" s="34">
        <v>7.0</v>
      </c>
      <c r="B20" s="34">
        <v>1.0</v>
      </c>
      <c r="C20" s="34">
        <v>18.0</v>
      </c>
      <c r="D20" s="34">
        <v>11.0</v>
      </c>
      <c r="E20" s="6"/>
      <c r="F20" s="6"/>
      <c r="G20" s="6"/>
      <c r="H20" s="6"/>
      <c r="I20" s="6"/>
    </row>
    <row r="21" ht="26.25" customHeight="1">
      <c r="A21" s="34">
        <v>8.0</v>
      </c>
      <c r="B21" s="34">
        <v>1.0</v>
      </c>
      <c r="C21" s="34">
        <v>19.0</v>
      </c>
      <c r="D21" s="34">
        <v>12.0</v>
      </c>
      <c r="E21" s="6"/>
      <c r="F21" s="6"/>
      <c r="G21" s="6"/>
      <c r="H21" s="6"/>
      <c r="I21" s="6"/>
    </row>
    <row r="22" ht="26.25" customHeight="1">
      <c r="A22" s="34">
        <v>9.0</v>
      </c>
      <c r="B22" s="34">
        <v>2.0</v>
      </c>
      <c r="C22" s="34">
        <v>21.0</v>
      </c>
      <c r="D22" s="34">
        <v>13.0</v>
      </c>
      <c r="E22" s="6"/>
      <c r="F22" s="6"/>
      <c r="G22" s="6"/>
      <c r="H22" s="6"/>
      <c r="I22" s="6"/>
    </row>
    <row r="23" ht="26.25" customHeight="1">
      <c r="A23" s="34">
        <v>10.0</v>
      </c>
      <c r="B23" s="34">
        <v>1.0</v>
      </c>
      <c r="C23" s="34">
        <v>22.0</v>
      </c>
      <c r="D23" s="34">
        <v>14.0</v>
      </c>
      <c r="E23" s="6"/>
      <c r="F23" s="6"/>
      <c r="G23" s="6"/>
      <c r="H23" s="6"/>
      <c r="I23" s="6"/>
    </row>
    <row r="24" ht="26.25" customHeight="1">
      <c r="A24" s="34">
        <v>11.0</v>
      </c>
      <c r="B24" s="34">
        <v>1.0</v>
      </c>
      <c r="C24" s="34">
        <v>23.0</v>
      </c>
      <c r="D24" s="34">
        <v>15.0</v>
      </c>
      <c r="E24" s="6"/>
      <c r="F24" s="6"/>
      <c r="G24" s="6"/>
      <c r="H24" s="6"/>
      <c r="I24" s="6"/>
    </row>
    <row r="25" ht="26.25" customHeight="1">
      <c r="A25" s="34">
        <v>12.0</v>
      </c>
      <c r="B25" s="34">
        <v>2.0</v>
      </c>
      <c r="C25" s="34">
        <v>25.0</v>
      </c>
      <c r="D25" s="34">
        <v>16.0</v>
      </c>
      <c r="E25" s="6"/>
      <c r="F25" s="6"/>
      <c r="G25" s="6"/>
      <c r="H25" s="6"/>
      <c r="I25" s="6"/>
    </row>
    <row r="26" ht="26.25" customHeight="1">
      <c r="A26" s="34">
        <v>13.0</v>
      </c>
      <c r="B26" s="34">
        <v>1.0</v>
      </c>
      <c r="C26" s="34">
        <v>26.0</v>
      </c>
      <c r="D26" s="34">
        <v>16.0</v>
      </c>
      <c r="E26" s="6"/>
      <c r="F26" s="6"/>
      <c r="G26" s="6"/>
      <c r="H26" s="6"/>
      <c r="I26" s="6"/>
    </row>
    <row r="27" ht="26.25" customHeight="1">
      <c r="A27" s="34">
        <v>14.0</v>
      </c>
      <c r="B27" s="34">
        <v>1.0</v>
      </c>
      <c r="C27" s="34">
        <v>27.0</v>
      </c>
      <c r="D27" s="34">
        <v>16.0</v>
      </c>
      <c r="E27" s="6"/>
      <c r="F27" s="6"/>
      <c r="G27" s="6"/>
      <c r="H27" s="6"/>
      <c r="I27" s="6"/>
    </row>
    <row r="28" ht="26.25" customHeight="1">
      <c r="A28" s="34">
        <v>15.0</v>
      </c>
      <c r="B28" s="34">
        <v>2.0</v>
      </c>
      <c r="C28" s="34">
        <v>29.0</v>
      </c>
      <c r="D28" s="34">
        <v>16.0</v>
      </c>
      <c r="E28" s="6"/>
      <c r="F28" s="6"/>
      <c r="G28" s="6"/>
      <c r="H28" s="6"/>
      <c r="I28" s="6"/>
    </row>
    <row r="29" ht="26.25" customHeight="1">
      <c r="A29" s="34">
        <v>16.0</v>
      </c>
      <c r="B29" s="34">
        <v>1.0</v>
      </c>
      <c r="C29" s="34">
        <v>30.0</v>
      </c>
      <c r="D29" s="34">
        <v>16.0</v>
      </c>
      <c r="E29" s="6"/>
      <c r="F29" s="6"/>
      <c r="G29" s="6"/>
      <c r="H29" s="6"/>
      <c r="I29" s="6"/>
    </row>
    <row r="30" ht="26.25" customHeight="1">
      <c r="A30" s="34">
        <v>17.0</v>
      </c>
      <c r="B30" s="34">
        <v>1.0</v>
      </c>
      <c r="C30" s="34">
        <v>31.0</v>
      </c>
      <c r="D30" s="34">
        <v>16.0</v>
      </c>
      <c r="E30" s="6"/>
      <c r="F30" s="6"/>
      <c r="G30" s="6"/>
      <c r="H30" s="6"/>
      <c r="I30" s="6"/>
    </row>
    <row r="31" ht="26.25" customHeight="1">
      <c r="A31" s="34">
        <v>18.0</v>
      </c>
      <c r="B31" s="34">
        <v>2.0</v>
      </c>
      <c r="C31" s="34">
        <v>33.0</v>
      </c>
      <c r="D31" s="34">
        <v>16.0</v>
      </c>
      <c r="E31" s="6"/>
      <c r="F31" s="6"/>
      <c r="G31" s="6"/>
      <c r="H31" s="6"/>
      <c r="I31" s="6"/>
    </row>
    <row r="32" ht="26.25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26.25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26.25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26.25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26.25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26.25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26.25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26.25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26.25" customHeight="1">
      <c r="A40" s="38"/>
      <c r="B40" s="38"/>
      <c r="C40" s="38"/>
      <c r="D40" s="38"/>
      <c r="E40" s="38"/>
      <c r="F40" s="38"/>
      <c r="G40" s="38"/>
      <c r="H40" s="38"/>
      <c r="I40" s="38"/>
    </row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dataValidations>
    <dataValidation type="custom" allowBlank="1" showDropDown="1" sqref="A14:D31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38"/>
  </cols>
  <sheetData>
    <row r="1" ht="26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</row>
    <row r="2" ht="26.25" customHeight="1">
      <c r="A2" s="10">
        <v>3.0</v>
      </c>
      <c r="B2" s="11">
        <v>6.0</v>
      </c>
      <c r="C2" s="11">
        <v>1.0</v>
      </c>
      <c r="D2" s="12">
        <v>2.0</v>
      </c>
      <c r="E2" s="35">
        <f>SUM(A2:D2)</f>
        <v>12</v>
      </c>
      <c r="F2" s="6"/>
      <c r="G2" s="14">
        <f>H2+I2</f>
        <v>290</v>
      </c>
      <c r="H2" s="15">
        <f> 10 + CEILING(MIN(A2,16)*75 + MIN(D2,16)*5 + MIN(C2,16)*45, 1)</f>
        <v>290</v>
      </c>
      <c r="I2" s="16">
        <f>CEILING(MAX(A2-16,0)^2*300 + MAX(D2-16,0)^2*25 + MAX(C2-16,0)^2*175,1)</f>
        <v>0</v>
      </c>
    </row>
    <row r="3" ht="26.25" customHeight="1">
      <c r="A3" s="17" t="s">
        <v>8</v>
      </c>
      <c r="B3" s="18" t="s">
        <v>9</v>
      </c>
      <c r="C3" s="18" t="s">
        <v>10</v>
      </c>
      <c r="D3" s="19"/>
      <c r="E3" s="6"/>
      <c r="F3" s="6"/>
      <c r="G3" s="20" t="s">
        <v>11</v>
      </c>
      <c r="H3" s="8" t="s">
        <v>12</v>
      </c>
      <c r="I3" s="9" t="s">
        <v>13</v>
      </c>
    </row>
    <row r="4" ht="26.25" customHeight="1">
      <c r="A4" s="21"/>
      <c r="B4" s="18" t="s">
        <v>14</v>
      </c>
      <c r="C4" s="18" t="s">
        <v>15</v>
      </c>
      <c r="D4" s="22" t="s">
        <v>16</v>
      </c>
      <c r="E4" s="6"/>
      <c r="F4" s="6"/>
      <c r="G4" s="14">
        <f>H4+I4</f>
        <v>310</v>
      </c>
      <c r="H4" s="15">
        <f> 10 + CEILING(MIN(B2,16)*20 + MIN(D2,16)*75 + MIN(C2,16)*30, 1)</f>
        <v>310</v>
      </c>
      <c r="I4" s="16">
        <f>CEILING(MAX(D2-16,0)^2*300 + MAX(B2-16,0)^2*80 + MAX(C2-16,0)^2*120,1)</f>
        <v>0</v>
      </c>
    </row>
    <row r="5" ht="26.25" customHeight="1">
      <c r="A5" s="17" t="s">
        <v>17</v>
      </c>
      <c r="B5" s="6"/>
      <c r="C5" s="18" t="s">
        <v>18</v>
      </c>
      <c r="D5" s="22" t="s">
        <v>19</v>
      </c>
      <c r="E5" s="6"/>
      <c r="F5" s="6"/>
      <c r="G5" s="23" t="s">
        <v>20</v>
      </c>
      <c r="H5" s="8" t="s">
        <v>21</v>
      </c>
      <c r="I5" s="9" t="s">
        <v>22</v>
      </c>
    </row>
    <row r="6" ht="26.25" customHeight="1">
      <c r="A6" s="21"/>
      <c r="B6" s="18" t="s">
        <v>23</v>
      </c>
      <c r="C6" s="18" t="s">
        <v>24</v>
      </c>
      <c r="D6" s="22" t="s">
        <v>25</v>
      </c>
      <c r="E6" s="6"/>
      <c r="F6" s="6"/>
      <c r="G6" s="14">
        <f>H6+I6</f>
        <v>125</v>
      </c>
      <c r="H6" s="15">
        <f> CEILING(MIN(A2,16)*20 + MIN(B2,16)*10 + MIN(C2,16)*5, 1)</f>
        <v>125</v>
      </c>
      <c r="I6" s="16">
        <f>CEILING(MAX(A2-16,0)^2*172.5 + MAX(B2-16,0)^2*86.25 + MAX(C2-16,0)^2*28.75,1)</f>
        <v>0</v>
      </c>
    </row>
    <row r="7" ht="26.25" customHeight="1">
      <c r="A7" s="21"/>
      <c r="B7" s="18" t="s">
        <v>26</v>
      </c>
      <c r="C7" s="6"/>
      <c r="D7" s="19"/>
      <c r="E7" s="6"/>
      <c r="F7" s="6"/>
      <c r="G7" s="24" t="s">
        <v>27</v>
      </c>
      <c r="H7" s="8" t="s">
        <v>28</v>
      </c>
      <c r="I7" s="9" t="s">
        <v>29</v>
      </c>
    </row>
    <row r="8" ht="26.25" customHeight="1">
      <c r="A8" s="21"/>
      <c r="B8" s="18" t="s">
        <v>30</v>
      </c>
      <c r="C8" s="6"/>
      <c r="D8" s="19"/>
      <c r="E8" s="6"/>
      <c r="F8" s="6"/>
      <c r="G8" s="14">
        <f>H8+I8</f>
        <v>105</v>
      </c>
      <c r="H8" s="15">
        <f>CEILING(MIN(B2,16)*10 + MIN(D2,16)*20 + MIN(C2,16)*5, 1)</f>
        <v>105</v>
      </c>
      <c r="I8" s="16">
        <f>CEILING(MAX(D2-16,0)^2*172.5 + MAX(B2-16,0)^2*86.25 + MAX(C2-16,0)^2*28.75,1)</f>
        <v>0</v>
      </c>
    </row>
    <row r="9" ht="26.25" customHeight="1">
      <c r="A9" s="17" t="s">
        <v>31</v>
      </c>
      <c r="B9" s="18" t="s">
        <v>32</v>
      </c>
      <c r="C9" s="6"/>
      <c r="D9" s="22" t="s">
        <v>31</v>
      </c>
      <c r="E9" s="6"/>
      <c r="F9" s="6"/>
      <c r="G9" s="25" t="s">
        <v>33</v>
      </c>
      <c r="H9" s="8" t="s">
        <v>34</v>
      </c>
      <c r="I9" s="9" t="s">
        <v>35</v>
      </c>
    </row>
    <row r="10" ht="26.25" customHeight="1">
      <c r="A10" s="17" t="s">
        <v>36</v>
      </c>
      <c r="B10" s="18" t="s">
        <v>37</v>
      </c>
      <c r="C10" s="18" t="s">
        <v>38</v>
      </c>
      <c r="D10" s="19"/>
      <c r="E10" s="6"/>
      <c r="F10" s="6"/>
      <c r="G10" s="14">
        <f>H10+I10</f>
        <v>26</v>
      </c>
      <c r="H10" s="15">
        <f>CEILING(MIN(A2,16)*4.5 + MIN(B2,16)*1 + MIN(C2,16)*6, 1)</f>
        <v>26</v>
      </c>
      <c r="I10" s="16">
        <f>CEILING(MAX(A2-16,0)^2*14 + MAX(C2-16,0)^2*20 + MAX(B2-16,0)^2*2,1)</f>
        <v>0</v>
      </c>
    </row>
    <row r="11" ht="26.25" customHeight="1">
      <c r="A11" s="28"/>
      <c r="B11" s="11" t="s">
        <v>39</v>
      </c>
      <c r="C11" s="11" t="s">
        <v>40</v>
      </c>
      <c r="D11" s="12" t="s">
        <v>41</v>
      </c>
      <c r="E11" s="6"/>
      <c r="F11" s="6"/>
      <c r="G11" s="24" t="s">
        <v>42</v>
      </c>
      <c r="H11" s="8" t="s">
        <v>43</v>
      </c>
      <c r="I11" s="9" t="s">
        <v>44</v>
      </c>
    </row>
    <row r="12" ht="26.25" customHeight="1">
      <c r="A12" s="6"/>
      <c r="B12" s="6"/>
      <c r="C12" s="6"/>
      <c r="D12" s="6"/>
      <c r="E12" s="6"/>
      <c r="F12" s="6"/>
      <c r="G12" s="14">
        <f>H12+I12</f>
        <v>21</v>
      </c>
      <c r="H12" s="15">
        <f>CEILING(MIN(B2,16)*1 + MIN(D2,16)*4.5 + MIN(C2,16)*6, 1)</f>
        <v>21</v>
      </c>
      <c r="I12" s="16">
        <f>CEILING(MAX(D2-16,0)^2*14 + MAX(C2-16,0)^2*20 + MAX(B2-16,0)^2*2,1)</f>
        <v>0</v>
      </c>
    </row>
    <row r="13" ht="26.25" customHeight="1">
      <c r="A13" s="31" t="s">
        <v>45</v>
      </c>
      <c r="B13" s="31" t="s">
        <v>46</v>
      </c>
      <c r="C13" s="31" t="s">
        <v>47</v>
      </c>
      <c r="D13" s="31" t="s">
        <v>48</v>
      </c>
      <c r="E13" s="6"/>
      <c r="F13" s="6"/>
      <c r="G13" s="32" t="s">
        <v>49</v>
      </c>
      <c r="H13" s="8" t="s">
        <v>50</v>
      </c>
      <c r="I13" s="33"/>
    </row>
    <row r="14" ht="26.25" customHeight="1">
      <c r="A14" s="39">
        <v>1.0</v>
      </c>
      <c r="B14" s="34" t="s">
        <v>51</v>
      </c>
      <c r="C14" s="39">
        <v>10.0</v>
      </c>
      <c r="D14" s="39">
        <v>5.0</v>
      </c>
      <c r="E14" s="6"/>
      <c r="F14" s="6"/>
      <c r="G14" s="14">
        <f>H14</f>
        <v>35</v>
      </c>
      <c r="H14" s="15">
        <f>5 + CEILING(MIN(B2,20)*5, 1)</f>
        <v>35</v>
      </c>
      <c r="I14" s="16"/>
    </row>
    <row r="15" ht="26.25" customHeight="1">
      <c r="A15" s="39">
        <v>2.0</v>
      </c>
      <c r="B15" s="39">
        <v>1.0</v>
      </c>
      <c r="C15" s="39">
        <v>11.0</v>
      </c>
      <c r="D15" s="39">
        <v>6.0</v>
      </c>
      <c r="E15" s="6"/>
      <c r="F15" s="6"/>
      <c r="G15" s="32" t="s">
        <v>52</v>
      </c>
      <c r="H15" s="8" t="s">
        <v>53</v>
      </c>
      <c r="I15" s="9" t="s">
        <v>54</v>
      </c>
    </row>
    <row r="16" ht="26.25" customHeight="1">
      <c r="A16" s="39">
        <v>3.0</v>
      </c>
      <c r="B16" s="39">
        <v>1.0</v>
      </c>
      <c r="C16" s="39">
        <v>12.0</v>
      </c>
      <c r="D16" s="39">
        <v>7.0</v>
      </c>
      <c r="E16" s="6"/>
      <c r="F16" s="6"/>
      <c r="G16" s="14">
        <f>H16+I16</f>
        <v>190</v>
      </c>
      <c r="H16" s="15">
        <f> 150 + CEILING(MIN(A2,16)*2 + MIN(D2,16)*2 + MIN(B2,16)*5, 1)</f>
        <v>190</v>
      </c>
      <c r="I16" s="16">
        <f>CEILING(MAX(A2-16,0)^2*(3+(1/3)) + MAX(D2-16,0)^2*(3+(1/3)) + MAX(B2-16,0)^2*(8+(1/3)),1)</f>
        <v>0</v>
      </c>
    </row>
    <row r="17" ht="26.25" customHeight="1">
      <c r="A17" s="39">
        <v>4.0</v>
      </c>
      <c r="B17" s="39">
        <v>2.0</v>
      </c>
      <c r="C17" s="39">
        <v>14.0</v>
      </c>
      <c r="D17" s="39">
        <v>8.0</v>
      </c>
      <c r="E17" s="6"/>
      <c r="F17" s="6"/>
      <c r="G17" s="24" t="s">
        <v>55</v>
      </c>
      <c r="H17" s="8" t="s">
        <v>56</v>
      </c>
      <c r="I17" s="9" t="s">
        <v>57</v>
      </c>
    </row>
    <row r="18" ht="26.25" customHeight="1">
      <c r="A18" s="39">
        <v>5.0</v>
      </c>
      <c r="B18" s="39">
        <v>1.0</v>
      </c>
      <c r="C18" s="39">
        <v>15.0</v>
      </c>
      <c r="D18" s="39">
        <v>9.0</v>
      </c>
      <c r="E18" s="6"/>
      <c r="F18" s="6"/>
      <c r="G18" s="35">
        <f>H18</f>
        <v>15</v>
      </c>
      <c r="H18" s="36">
        <f>CEILING(MIN(B2,16)*2.5, 1)</f>
        <v>15</v>
      </c>
      <c r="I18" s="37"/>
    </row>
    <row r="19" ht="26.25" customHeight="1">
      <c r="A19" s="39">
        <v>6.0</v>
      </c>
      <c r="B19" s="39">
        <v>2.0</v>
      </c>
      <c r="C19" s="39">
        <v>17.0</v>
      </c>
      <c r="D19" s="39">
        <v>10.0</v>
      </c>
      <c r="E19" s="6"/>
      <c r="F19" s="6"/>
      <c r="G19" s="6"/>
      <c r="H19" s="6"/>
      <c r="I19" s="6"/>
    </row>
    <row r="20" ht="26.25" customHeight="1">
      <c r="A20" s="39">
        <v>7.0</v>
      </c>
      <c r="B20" s="39">
        <v>1.0</v>
      </c>
      <c r="C20" s="39">
        <v>18.0</v>
      </c>
      <c r="D20" s="39">
        <v>11.0</v>
      </c>
      <c r="E20" s="6"/>
      <c r="F20" s="6"/>
      <c r="G20" s="6"/>
      <c r="H20" s="6"/>
      <c r="I20" s="6"/>
    </row>
    <row r="21" ht="26.25" customHeight="1">
      <c r="A21" s="39">
        <v>8.0</v>
      </c>
      <c r="B21" s="39">
        <v>1.0</v>
      </c>
      <c r="C21" s="39">
        <v>19.0</v>
      </c>
      <c r="D21" s="39">
        <v>12.0</v>
      </c>
      <c r="E21" s="6"/>
      <c r="F21" s="6"/>
      <c r="G21" s="6"/>
      <c r="H21" s="6"/>
      <c r="I21" s="6"/>
    </row>
    <row r="22" ht="26.25" customHeight="1">
      <c r="A22" s="39">
        <v>9.0</v>
      </c>
      <c r="B22" s="39">
        <v>2.0</v>
      </c>
      <c r="C22" s="39">
        <v>21.0</v>
      </c>
      <c r="D22" s="39">
        <v>13.0</v>
      </c>
      <c r="E22" s="6"/>
      <c r="F22" s="6"/>
      <c r="G22" s="6"/>
      <c r="H22" s="6"/>
      <c r="I22" s="6"/>
    </row>
    <row r="23" ht="26.25" customHeight="1">
      <c r="A23" s="39">
        <v>10.0</v>
      </c>
      <c r="B23" s="39">
        <v>1.0</v>
      </c>
      <c r="C23" s="39">
        <v>22.0</v>
      </c>
      <c r="D23" s="39">
        <v>14.0</v>
      </c>
      <c r="E23" s="6"/>
      <c r="F23" s="6"/>
      <c r="G23" s="6"/>
      <c r="H23" s="6"/>
      <c r="I23" s="6"/>
    </row>
    <row r="24" ht="26.25" customHeight="1">
      <c r="A24" s="39">
        <v>11.0</v>
      </c>
      <c r="B24" s="39">
        <v>1.0</v>
      </c>
      <c r="C24" s="39">
        <v>23.0</v>
      </c>
      <c r="D24" s="39">
        <v>15.0</v>
      </c>
      <c r="E24" s="6"/>
      <c r="F24" s="6"/>
      <c r="G24" s="6"/>
      <c r="H24" s="6"/>
      <c r="I24" s="6"/>
    </row>
    <row r="25" ht="26.25" customHeight="1">
      <c r="A25" s="39">
        <v>12.0</v>
      </c>
      <c r="B25" s="39">
        <v>2.0</v>
      </c>
      <c r="C25" s="39">
        <v>25.0</v>
      </c>
      <c r="D25" s="39">
        <v>16.0</v>
      </c>
      <c r="E25" s="6"/>
      <c r="F25" s="6"/>
      <c r="G25" s="6"/>
      <c r="H25" s="6"/>
      <c r="I25" s="6"/>
    </row>
    <row r="26" ht="26.25" customHeight="1">
      <c r="A26" s="39">
        <v>13.0</v>
      </c>
      <c r="B26" s="39">
        <v>1.0</v>
      </c>
      <c r="C26" s="39">
        <v>26.0</v>
      </c>
      <c r="D26" s="39">
        <v>16.0</v>
      </c>
      <c r="E26" s="6"/>
      <c r="F26" s="6"/>
      <c r="G26" s="6"/>
      <c r="H26" s="6"/>
      <c r="I26" s="6"/>
    </row>
    <row r="27" ht="26.25" customHeight="1">
      <c r="A27" s="39">
        <v>14.0</v>
      </c>
      <c r="B27" s="39">
        <v>1.0</v>
      </c>
      <c r="C27" s="39">
        <v>27.0</v>
      </c>
      <c r="D27" s="39">
        <v>16.0</v>
      </c>
      <c r="E27" s="6"/>
      <c r="F27" s="6"/>
      <c r="G27" s="6"/>
      <c r="H27" s="6"/>
      <c r="I27" s="6"/>
    </row>
    <row r="28" ht="26.25" customHeight="1">
      <c r="A28" s="39">
        <v>15.0</v>
      </c>
      <c r="B28" s="39">
        <v>2.0</v>
      </c>
      <c r="C28" s="39">
        <v>29.0</v>
      </c>
      <c r="D28" s="39">
        <v>16.0</v>
      </c>
      <c r="E28" s="6"/>
      <c r="F28" s="6"/>
      <c r="G28" s="6"/>
      <c r="H28" s="6"/>
      <c r="I28" s="6"/>
    </row>
    <row r="29" ht="26.25" customHeight="1">
      <c r="A29" s="39">
        <v>16.0</v>
      </c>
      <c r="B29" s="39">
        <v>1.0</v>
      </c>
      <c r="C29" s="39">
        <v>30.0</v>
      </c>
      <c r="D29" s="39">
        <v>16.0</v>
      </c>
      <c r="E29" s="6"/>
      <c r="F29" s="6"/>
      <c r="G29" s="6"/>
      <c r="H29" s="6"/>
      <c r="I29" s="6"/>
    </row>
    <row r="30" ht="26.25" customHeight="1">
      <c r="A30" s="39">
        <v>17.0</v>
      </c>
      <c r="B30" s="39">
        <v>1.0</v>
      </c>
      <c r="C30" s="39">
        <v>31.0</v>
      </c>
      <c r="D30" s="39">
        <v>16.0</v>
      </c>
      <c r="E30" s="6"/>
      <c r="F30" s="6"/>
      <c r="G30" s="6"/>
      <c r="H30" s="6"/>
      <c r="I30" s="6"/>
    </row>
    <row r="31" ht="26.25" customHeight="1">
      <c r="A31" s="39">
        <v>18.0</v>
      </c>
      <c r="B31" s="39">
        <v>2.0</v>
      </c>
      <c r="C31" s="39">
        <v>33.0</v>
      </c>
      <c r="D31" s="39">
        <v>16.0</v>
      </c>
      <c r="E31" s="6"/>
      <c r="F31" s="6"/>
      <c r="G31" s="6"/>
      <c r="H31" s="6"/>
      <c r="I31" s="6"/>
    </row>
    <row r="32" ht="26.25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26.25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26.25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26.25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26.25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26.25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26.25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26.25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26.25" customHeight="1">
      <c r="A40" s="38"/>
      <c r="B40" s="38"/>
      <c r="C40" s="38"/>
      <c r="D40" s="38"/>
      <c r="E40" s="38"/>
      <c r="F40" s="38"/>
      <c r="G40" s="38"/>
      <c r="H40" s="38"/>
      <c r="I40" s="38"/>
    </row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dataValidations>
    <dataValidation type="custom" allowBlank="1" showDropDown="1" sqref="A14:D31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63"/>
    <col customWidth="1" min="3" max="3" width="18.63"/>
    <col customWidth="1" min="4" max="4" width="20.88"/>
    <col customWidth="1" min="5" max="5" width="28.25"/>
    <col customWidth="1" min="6" max="6" width="36.75"/>
    <col customWidth="1" min="7" max="12" width="18.63"/>
    <col customWidth="1" min="13" max="13" width="57.13"/>
    <col customWidth="1" min="14" max="22" width="18.63"/>
    <col customWidth="1" min="23" max="23" width="23.13"/>
    <col customWidth="1" min="24" max="24" width="8.88"/>
    <col customWidth="1" min="25" max="26" width="18.63"/>
  </cols>
  <sheetData>
    <row r="1" ht="30.0" customHeight="1">
      <c r="A1" s="40" t="s">
        <v>58</v>
      </c>
      <c r="B1" s="34" t="s">
        <v>59</v>
      </c>
      <c r="C1" s="34" t="s">
        <v>60</v>
      </c>
      <c r="D1" s="34" t="s">
        <v>61</v>
      </c>
      <c r="E1" s="34" t="s">
        <v>62</v>
      </c>
      <c r="F1" s="41" t="s">
        <v>63</v>
      </c>
      <c r="G1" s="34" t="s">
        <v>64</v>
      </c>
      <c r="H1" s="42" t="s">
        <v>65</v>
      </c>
      <c r="K1" s="43" t="s">
        <v>66</v>
      </c>
      <c r="L1" s="43" t="s">
        <v>67</v>
      </c>
      <c r="M1" s="43" t="s">
        <v>68</v>
      </c>
      <c r="N1" s="44" t="s">
        <v>69</v>
      </c>
      <c r="O1" s="44"/>
      <c r="P1" s="44" t="s">
        <v>70</v>
      </c>
      <c r="U1" s="45" t="s">
        <v>71</v>
      </c>
      <c r="V1" s="46">
        <v>10.0</v>
      </c>
    </row>
    <row r="2" ht="30.0" customHeight="1">
      <c r="A2" s="47" t="s">
        <v>5</v>
      </c>
      <c r="B2" s="48">
        <f>'Stats Erwan'!G2</f>
        <v>290</v>
      </c>
      <c r="C2" s="49"/>
      <c r="D2" s="48">
        <f t="shared" ref="D2:D3" si="1">B2+C2</f>
        <v>290</v>
      </c>
      <c r="E2" s="39">
        <v>224.0</v>
      </c>
      <c r="F2" s="34">
        <v>224.0</v>
      </c>
      <c r="G2" s="34" t="s">
        <v>72</v>
      </c>
      <c r="H2" s="50" t="b">
        <v>0</v>
      </c>
      <c r="K2" s="44" t="b">
        <v>1</v>
      </c>
      <c r="L2" s="44" t="s">
        <v>73</v>
      </c>
      <c r="M2" s="51">
        <v>145.0</v>
      </c>
      <c r="N2" s="44" t="s">
        <v>74</v>
      </c>
      <c r="P2" s="44" t="s">
        <v>75</v>
      </c>
      <c r="R2" s="44" t="s">
        <v>76</v>
      </c>
      <c r="S2" s="44" t="s">
        <v>77</v>
      </c>
      <c r="U2" s="45" t="s">
        <v>78</v>
      </c>
      <c r="V2" s="46">
        <v>10.0</v>
      </c>
    </row>
    <row r="3" ht="30.0" customHeight="1">
      <c r="A3" s="52" t="s">
        <v>11</v>
      </c>
      <c r="B3" s="48">
        <f>'Stats Erwan'!G4</f>
        <v>310</v>
      </c>
      <c r="C3" s="49"/>
      <c r="D3" s="48">
        <f t="shared" si="1"/>
        <v>310</v>
      </c>
      <c r="E3" s="39">
        <v>250.0</v>
      </c>
      <c r="F3" s="34">
        <v>250.0</v>
      </c>
      <c r="G3" s="34" t="s">
        <v>79</v>
      </c>
      <c r="H3" s="50" t="b">
        <v>0</v>
      </c>
      <c r="K3" s="44" t="s">
        <v>80</v>
      </c>
      <c r="L3" s="44" t="s">
        <v>81</v>
      </c>
      <c r="N3" s="44" t="s">
        <v>82</v>
      </c>
      <c r="S3" s="44" t="s">
        <v>83</v>
      </c>
      <c r="U3" s="45" t="s">
        <v>84</v>
      </c>
      <c r="V3" s="46">
        <v>10.0</v>
      </c>
    </row>
    <row r="4" ht="30.0" customHeight="1">
      <c r="A4" s="53" t="s">
        <v>85</v>
      </c>
      <c r="B4" s="48"/>
      <c r="C4" s="49"/>
      <c r="D4" s="48"/>
      <c r="E4" s="39">
        <v>0.0</v>
      </c>
      <c r="F4" s="34">
        <v>0.0</v>
      </c>
      <c r="G4" s="34" t="s">
        <v>86</v>
      </c>
      <c r="H4" s="50" t="b">
        <v>0</v>
      </c>
      <c r="L4" s="44">
        <v>1.0</v>
      </c>
    </row>
    <row r="5" ht="30.0" customHeight="1">
      <c r="A5" s="49"/>
      <c r="B5" s="48"/>
      <c r="C5" s="49"/>
      <c r="D5" s="48"/>
      <c r="E5" s="48"/>
      <c r="F5" s="34"/>
      <c r="G5" s="34" t="s">
        <v>87</v>
      </c>
      <c r="H5" s="50" t="b">
        <v>0</v>
      </c>
      <c r="L5" s="44">
        <v>0.0</v>
      </c>
    </row>
    <row r="6" ht="30.0" customHeight="1">
      <c r="A6" s="54" t="s">
        <v>20</v>
      </c>
      <c r="B6" s="48">
        <f>'Stats Erwan'!G6</f>
        <v>125</v>
      </c>
      <c r="C6" s="34">
        <v>20.0</v>
      </c>
      <c r="D6" s="48">
        <f t="shared" ref="D6:D7" si="2">B6+C6</f>
        <v>145</v>
      </c>
      <c r="E6" s="39">
        <v>145.0</v>
      </c>
      <c r="F6" s="34">
        <v>145.0</v>
      </c>
      <c r="G6" s="34" t="s">
        <v>88</v>
      </c>
      <c r="H6" s="50" t="b">
        <v>0</v>
      </c>
      <c r="J6" s="44"/>
    </row>
    <row r="7" ht="30.0" customHeight="1">
      <c r="A7" s="55" t="s">
        <v>27</v>
      </c>
      <c r="B7" s="48">
        <f>'Stats Erwan'!G8</f>
        <v>105</v>
      </c>
      <c r="C7" s="49"/>
      <c r="D7" s="48">
        <f t="shared" si="2"/>
        <v>105</v>
      </c>
      <c r="E7" s="39">
        <v>105.0</v>
      </c>
      <c r="F7" s="34">
        <v>105.0</v>
      </c>
      <c r="G7" s="34" t="s">
        <v>89</v>
      </c>
      <c r="H7" s="50" t="b">
        <v>0</v>
      </c>
    </row>
    <row r="8" ht="30.0" customHeight="1">
      <c r="A8" s="49"/>
      <c r="B8" s="48"/>
      <c r="C8" s="49"/>
      <c r="D8" s="48"/>
      <c r="E8" s="48"/>
      <c r="F8" s="34">
        <v>0.0</v>
      </c>
      <c r="G8" s="34" t="s">
        <v>90</v>
      </c>
      <c r="H8" s="50" t="b">
        <v>0</v>
      </c>
    </row>
    <row r="9" ht="30.0" customHeight="1">
      <c r="A9" s="56" t="s">
        <v>33</v>
      </c>
      <c r="B9" s="48">
        <f>'Stats Erwan'!G10</f>
        <v>26</v>
      </c>
      <c r="C9" s="49"/>
      <c r="D9" s="48">
        <f t="shared" ref="D9:D10" si="3">B9+C9</f>
        <v>26</v>
      </c>
      <c r="E9" s="39">
        <v>26.0</v>
      </c>
      <c r="F9" s="34">
        <v>26.0</v>
      </c>
      <c r="G9" s="34" t="s">
        <v>91</v>
      </c>
      <c r="H9" s="50" t="b">
        <v>0</v>
      </c>
    </row>
    <row r="10" ht="30.0" customHeight="1">
      <c r="A10" s="57" t="s">
        <v>92</v>
      </c>
      <c r="B10" s="48">
        <f>'Stats Erwan'!G12</f>
        <v>21</v>
      </c>
      <c r="C10" s="49"/>
      <c r="D10" s="48">
        <f t="shared" si="3"/>
        <v>21</v>
      </c>
      <c r="E10" s="39">
        <v>21.0</v>
      </c>
      <c r="F10" s="34">
        <v>21.0</v>
      </c>
      <c r="G10" s="34" t="s">
        <v>93</v>
      </c>
      <c r="H10" s="50" t="b">
        <v>0</v>
      </c>
      <c r="K10" s="44">
        <v>97.0</v>
      </c>
      <c r="L10" s="58">
        <v>92.0</v>
      </c>
    </row>
    <row r="11" ht="30.0" customHeight="1">
      <c r="A11" s="49"/>
      <c r="B11" s="48"/>
      <c r="C11" s="49"/>
      <c r="D11" s="48"/>
      <c r="E11" s="48"/>
      <c r="F11" s="34"/>
      <c r="G11" s="34" t="s">
        <v>94</v>
      </c>
      <c r="H11" s="59" t="b">
        <v>0</v>
      </c>
      <c r="K11" s="44">
        <v>172.0</v>
      </c>
      <c r="L11" s="58">
        <v>283.0</v>
      </c>
    </row>
    <row r="12" ht="30.0" customHeight="1">
      <c r="A12" s="60" t="s">
        <v>95</v>
      </c>
      <c r="B12" s="48">
        <f>'Stats Erwan'!G14</f>
        <v>35</v>
      </c>
      <c r="C12" s="34">
        <v>10.0</v>
      </c>
      <c r="D12" s="48">
        <f t="shared" ref="D12:D13" si="4">B12+C12</f>
        <v>45</v>
      </c>
      <c r="E12" s="39">
        <v>45.0</v>
      </c>
      <c r="F12" s="34">
        <v>45.0</v>
      </c>
      <c r="G12" s="34" t="s">
        <v>96</v>
      </c>
      <c r="H12" s="59" t="b">
        <v>0</v>
      </c>
    </row>
    <row r="13" ht="30.0" customHeight="1">
      <c r="A13" s="60" t="s">
        <v>97</v>
      </c>
      <c r="B13" s="48">
        <f>'Stats Erwan'!G16</f>
        <v>190</v>
      </c>
      <c r="C13" s="34"/>
      <c r="D13" s="48">
        <f t="shared" si="4"/>
        <v>190</v>
      </c>
      <c r="E13" s="39">
        <v>190.0</v>
      </c>
      <c r="F13" s="34"/>
      <c r="G13" s="34" t="s">
        <v>98</v>
      </c>
      <c r="H13" s="59" t="b">
        <v>0</v>
      </c>
    </row>
    <row r="14" ht="30.0" customHeight="1">
      <c r="A14" s="34" t="s">
        <v>99</v>
      </c>
      <c r="B14" s="34" t="s">
        <v>100</v>
      </c>
      <c r="C14" s="34" t="s">
        <v>101</v>
      </c>
      <c r="D14" s="34" t="s">
        <v>102</v>
      </c>
      <c r="E14" s="34" t="s">
        <v>103</v>
      </c>
      <c r="F14" s="31">
        <v>0.0</v>
      </c>
      <c r="G14" s="34" t="s">
        <v>104</v>
      </c>
      <c r="H14" s="50" t="b">
        <v>0</v>
      </c>
    </row>
    <row r="15" ht="30.0" customHeight="1">
      <c r="A15" s="54" t="s">
        <v>105</v>
      </c>
      <c r="B15" s="48"/>
      <c r="C15" s="49"/>
      <c r="D15" s="48">
        <f t="shared" ref="D15:D17" si="5">B15+C15</f>
        <v>0</v>
      </c>
      <c r="E15" s="39">
        <v>0.0</v>
      </c>
      <c r="F15" s="34"/>
      <c r="G15" s="34" t="s">
        <v>106</v>
      </c>
      <c r="H15" s="50" t="b">
        <v>0</v>
      </c>
    </row>
    <row r="16" ht="30.0" customHeight="1">
      <c r="A16" s="55" t="s">
        <v>107</v>
      </c>
      <c r="B16" s="48">
        <f>'Stats Erwan'!G18</f>
        <v>15</v>
      </c>
      <c r="C16" s="49"/>
      <c r="D16" s="48">
        <f t="shared" si="5"/>
        <v>15</v>
      </c>
      <c r="E16" s="39">
        <v>15.0</v>
      </c>
      <c r="F16" s="34"/>
      <c r="G16" s="34" t="s">
        <v>108</v>
      </c>
      <c r="H16" s="50" t="b">
        <v>0</v>
      </c>
    </row>
    <row r="17" ht="30.0" customHeight="1">
      <c r="A17" s="61" t="s">
        <v>109</v>
      </c>
      <c r="B17" s="48"/>
      <c r="C17" s="49"/>
      <c r="D17" s="48">
        <f t="shared" si="5"/>
        <v>0</v>
      </c>
      <c r="E17" s="39">
        <v>0.0</v>
      </c>
      <c r="F17" s="62"/>
      <c r="G17" s="62"/>
      <c r="H17" s="59"/>
    </row>
    <row r="18" ht="30.0" customHeight="1">
      <c r="A18" s="38"/>
      <c r="B18" s="38"/>
      <c r="C18" s="38"/>
      <c r="D18" s="38"/>
      <c r="E18" s="38"/>
      <c r="F18" s="38"/>
      <c r="G18" s="38"/>
    </row>
    <row r="19" ht="30.0" customHeight="1">
      <c r="A19" s="63"/>
      <c r="B19" s="38"/>
      <c r="C19" s="38"/>
      <c r="D19" s="38"/>
      <c r="E19" s="38"/>
      <c r="F19" s="38"/>
      <c r="G19" s="38"/>
    </row>
    <row r="20" ht="30.0" customHeight="1">
      <c r="A20" s="63"/>
      <c r="B20" s="38"/>
      <c r="C20" s="38"/>
      <c r="D20" s="38"/>
      <c r="E20" s="38"/>
      <c r="F20" s="38"/>
      <c r="G20" s="38"/>
    </row>
    <row r="21" ht="30.0" customHeight="1">
      <c r="A21" s="38"/>
      <c r="D21" s="38"/>
      <c r="E21" s="38"/>
      <c r="F21" s="38"/>
      <c r="G21" s="38"/>
    </row>
    <row r="22" ht="30.0" customHeight="1">
      <c r="A22" s="63"/>
      <c r="B22" s="38"/>
      <c r="C22" s="38"/>
      <c r="D22" s="38"/>
      <c r="E22" s="38"/>
      <c r="G22" s="38"/>
      <c r="J22" s="64" t="s">
        <v>110</v>
      </c>
      <c r="K22" s="64" t="b">
        <v>1</v>
      </c>
    </row>
    <row r="23" ht="30.0" customHeight="1">
      <c r="A23" s="38"/>
      <c r="B23" s="38"/>
      <c r="C23" s="38"/>
      <c r="D23" s="38"/>
      <c r="E23" s="38"/>
      <c r="F23" s="38"/>
      <c r="G23" s="38"/>
      <c r="J23" s="65" t="s">
        <v>111</v>
      </c>
      <c r="K23" s="64">
        <v>0.0</v>
      </c>
    </row>
    <row r="24" ht="30.0" customHeight="1">
      <c r="A24" s="63"/>
      <c r="B24" s="63"/>
      <c r="C24" s="38"/>
      <c r="D24" s="38"/>
      <c r="E24" s="38"/>
      <c r="F24" s="38"/>
      <c r="G24" s="38"/>
    </row>
    <row r="25" ht="30.0" customHeight="1">
      <c r="A25" s="66"/>
      <c r="B25" s="58"/>
      <c r="C25" s="58"/>
      <c r="D25" s="58"/>
      <c r="E25" s="38"/>
      <c r="F25" s="38"/>
      <c r="G25" s="38"/>
    </row>
    <row r="26" ht="30.0" customHeight="1">
      <c r="A26" s="66" t="s">
        <v>112</v>
      </c>
      <c r="B26" s="67" t="s">
        <v>113</v>
      </c>
      <c r="C26" s="67" t="s">
        <v>114</v>
      </c>
      <c r="D26" s="67" t="s">
        <v>115</v>
      </c>
      <c r="E26" s="42" t="s">
        <v>116</v>
      </c>
      <c r="F26" s="38"/>
      <c r="G26" s="38"/>
    </row>
    <row r="27" ht="30.0" customHeight="1">
      <c r="B27" s="68" t="s">
        <v>117</v>
      </c>
      <c r="C27" s="69" t="s">
        <v>118</v>
      </c>
      <c r="D27" s="69">
        <v>2.0</v>
      </c>
      <c r="E27" s="62"/>
      <c r="F27" s="38"/>
      <c r="G27" s="38"/>
    </row>
    <row r="28" ht="30.0" customHeight="1">
      <c r="B28" s="68" t="s">
        <v>117</v>
      </c>
      <c r="C28" s="69" t="s">
        <v>119</v>
      </c>
      <c r="D28" s="69">
        <v>1.0</v>
      </c>
      <c r="E28" s="62"/>
      <c r="F28" s="38"/>
      <c r="G28" s="38"/>
    </row>
    <row r="29" ht="30.0" customHeight="1">
      <c r="B29" s="68" t="s">
        <v>120</v>
      </c>
      <c r="C29" s="69" t="s">
        <v>121</v>
      </c>
      <c r="D29" s="69">
        <v>1.0</v>
      </c>
      <c r="E29" s="50" t="s">
        <v>122</v>
      </c>
      <c r="F29" s="38"/>
      <c r="G29" s="38"/>
    </row>
    <row r="30" ht="30.0" customHeight="1">
      <c r="B30" s="68" t="s">
        <v>120</v>
      </c>
      <c r="C30" s="69" t="s">
        <v>123</v>
      </c>
      <c r="D30" s="69">
        <v>1.0</v>
      </c>
      <c r="E30" s="50" t="s">
        <v>124</v>
      </c>
      <c r="F30" s="38"/>
      <c r="G30" s="38"/>
    </row>
    <row r="31" ht="30.0" customHeight="1">
      <c r="B31" s="68" t="s">
        <v>120</v>
      </c>
      <c r="C31" s="69" t="s">
        <v>125</v>
      </c>
      <c r="D31" s="69">
        <v>2.0</v>
      </c>
      <c r="E31" s="62"/>
      <c r="F31" s="38"/>
      <c r="G31" s="63" t="s">
        <v>126</v>
      </c>
    </row>
    <row r="32" ht="30.0" customHeight="1">
      <c r="B32" s="68" t="s">
        <v>120</v>
      </c>
      <c r="C32" s="69" t="s">
        <v>127</v>
      </c>
      <c r="D32" s="69">
        <v>1.0</v>
      </c>
      <c r="E32" s="62"/>
      <c r="F32" s="38"/>
      <c r="G32" s="38"/>
    </row>
    <row r="33" ht="30.0" customHeight="1">
      <c r="B33" s="68" t="s">
        <v>120</v>
      </c>
      <c r="C33" s="69" t="s">
        <v>128</v>
      </c>
      <c r="D33" s="69">
        <v>1.0</v>
      </c>
      <c r="E33" s="62"/>
      <c r="F33" s="38"/>
      <c r="G33" s="38"/>
    </row>
    <row r="34" ht="30.0" customHeight="1">
      <c r="B34" s="68" t="s">
        <v>129</v>
      </c>
      <c r="C34" s="69" t="s">
        <v>130</v>
      </c>
      <c r="D34" s="69">
        <v>1.0</v>
      </c>
      <c r="E34" s="62"/>
      <c r="F34" s="38"/>
      <c r="G34" s="38"/>
    </row>
    <row r="35" ht="30.0" customHeight="1">
      <c r="A35" s="38"/>
      <c r="B35" s="68" t="s">
        <v>129</v>
      </c>
      <c r="C35" s="69" t="s">
        <v>131</v>
      </c>
      <c r="D35" s="69">
        <v>0.0</v>
      </c>
      <c r="E35" s="50"/>
      <c r="F35" s="38"/>
      <c r="G35" s="38"/>
    </row>
    <row r="36" ht="30.0" customHeight="1">
      <c r="A36" s="38"/>
      <c r="B36" s="68" t="s">
        <v>129</v>
      </c>
      <c r="C36" s="69" t="s">
        <v>132</v>
      </c>
      <c r="D36" s="69">
        <v>10.0</v>
      </c>
      <c r="E36" s="50" t="s">
        <v>133</v>
      </c>
      <c r="F36" s="38"/>
      <c r="G36" s="38"/>
    </row>
    <row r="37" ht="30.0" customHeight="1">
      <c r="A37" s="38"/>
      <c r="B37" s="68" t="s">
        <v>129</v>
      </c>
      <c r="C37" s="69" t="s">
        <v>134</v>
      </c>
      <c r="D37" s="69">
        <v>10.0</v>
      </c>
      <c r="E37" s="50" t="s">
        <v>135</v>
      </c>
      <c r="F37" s="38"/>
      <c r="G37" s="38"/>
    </row>
    <row r="38" ht="30.0" customHeight="1">
      <c r="A38" s="38"/>
      <c r="B38" s="68" t="s">
        <v>129</v>
      </c>
      <c r="C38" s="69" t="s">
        <v>136</v>
      </c>
      <c r="D38" s="69">
        <v>10.0</v>
      </c>
      <c r="E38" s="50" t="s">
        <v>137</v>
      </c>
      <c r="F38" s="38"/>
      <c r="G38" s="38"/>
    </row>
    <row r="39" ht="30.0" customHeight="1">
      <c r="A39" s="38"/>
      <c r="B39" s="38"/>
      <c r="C39" s="38"/>
      <c r="D39" s="38"/>
      <c r="E39" s="38"/>
      <c r="F39" s="38"/>
      <c r="G39" s="38"/>
    </row>
    <row r="40" ht="30.0" customHeight="1">
      <c r="A40" s="38"/>
      <c r="B40" s="38"/>
      <c r="C40" s="38"/>
      <c r="D40" s="38"/>
      <c r="E40" s="38"/>
      <c r="F40" s="38"/>
      <c r="G40" s="38"/>
    </row>
    <row r="41" ht="30.0" customHeight="1">
      <c r="A41" s="38"/>
      <c r="B41" s="38"/>
      <c r="C41" s="38"/>
      <c r="D41" s="38"/>
      <c r="E41" s="38"/>
      <c r="F41" s="38"/>
      <c r="G41" s="38"/>
    </row>
    <row r="42" ht="30.0" customHeight="1">
      <c r="A42" s="38"/>
      <c r="B42" s="38"/>
      <c r="C42" s="38"/>
      <c r="D42" s="38"/>
      <c r="E42" s="38"/>
      <c r="F42" s="38"/>
      <c r="G42" s="38"/>
    </row>
    <row r="43" ht="30.0" customHeight="1">
      <c r="A43" s="38"/>
      <c r="B43" s="38"/>
      <c r="C43" s="38"/>
      <c r="D43" s="38"/>
      <c r="E43" s="38"/>
      <c r="F43" s="38"/>
      <c r="G43" s="38"/>
    </row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  <row r="1001" ht="30.0" customHeight="1"/>
  </sheetData>
  <dataValidations>
    <dataValidation type="custom" allowBlank="1" showDropDown="1" sqref="B2:B17 D2:E1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38"/>
  </cols>
  <sheetData>
    <row r="1" ht="26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</row>
    <row r="2" ht="26.25" customHeight="1">
      <c r="A2" s="10">
        <v>6.0</v>
      </c>
      <c r="B2" s="11">
        <v>1.0</v>
      </c>
      <c r="C2" s="11">
        <v>5.0</v>
      </c>
      <c r="D2" s="12">
        <v>0.0</v>
      </c>
      <c r="E2" s="13">
        <f>A2+B2+C2+D2</f>
        <v>12</v>
      </c>
      <c r="F2" s="6"/>
      <c r="G2" s="14">
        <f>H2+I2</f>
        <v>685</v>
      </c>
      <c r="H2" s="15">
        <f> 10 + CEILING(MIN(A2,16)*75 + MIN(D2,16)*5 + MIN(C2,16)*45, 1)</f>
        <v>685</v>
      </c>
      <c r="I2" s="16">
        <f>CEILING(MAX(A2-16,0)^2*300 + MAX(D2-16,0)^2*25 + MAX(C2-16,0)^2*175,1)</f>
        <v>0</v>
      </c>
    </row>
    <row r="3" ht="26.25" customHeight="1">
      <c r="A3" s="17" t="s">
        <v>8</v>
      </c>
      <c r="B3" s="18" t="s">
        <v>9</v>
      </c>
      <c r="C3" s="18" t="s">
        <v>10</v>
      </c>
      <c r="D3" s="19"/>
      <c r="E3" s="6"/>
      <c r="F3" s="6"/>
      <c r="G3" s="20" t="s">
        <v>11</v>
      </c>
      <c r="H3" s="8" t="s">
        <v>12</v>
      </c>
      <c r="I3" s="9" t="s">
        <v>13</v>
      </c>
    </row>
    <row r="4" ht="26.25" customHeight="1">
      <c r="A4" s="21"/>
      <c r="B4" s="18" t="s">
        <v>14</v>
      </c>
      <c r="C4" s="18" t="s">
        <v>15</v>
      </c>
      <c r="D4" s="22" t="s">
        <v>16</v>
      </c>
      <c r="E4" s="6"/>
      <c r="F4" s="6"/>
      <c r="G4" s="14">
        <f>H4+I4</f>
        <v>180</v>
      </c>
      <c r="H4" s="15">
        <f> 10 + CEILING(MIN(B2,16)*20 + MIN(D2,16)*75 + MIN(C2,16)*30, 1)</f>
        <v>180</v>
      </c>
      <c r="I4" s="16">
        <f>CEILING(MAX(D2-16,0)^2*300 + MAX(B2-16,0)^2*80 + MAX(C2-16,0)^2*120,1)</f>
        <v>0</v>
      </c>
    </row>
    <row r="5" ht="26.25" customHeight="1">
      <c r="A5" s="17" t="s">
        <v>17</v>
      </c>
      <c r="B5" s="6"/>
      <c r="C5" s="18" t="s">
        <v>18</v>
      </c>
      <c r="D5" s="22" t="s">
        <v>19</v>
      </c>
      <c r="E5" s="6"/>
      <c r="F5" s="6"/>
      <c r="G5" s="23" t="s">
        <v>20</v>
      </c>
      <c r="H5" s="8" t="s">
        <v>21</v>
      </c>
      <c r="I5" s="9" t="s">
        <v>22</v>
      </c>
    </row>
    <row r="6" ht="26.25" customHeight="1">
      <c r="A6" s="21"/>
      <c r="B6" s="18" t="s">
        <v>23</v>
      </c>
      <c r="C6" s="18" t="s">
        <v>24</v>
      </c>
      <c r="D6" s="22" t="s">
        <v>25</v>
      </c>
      <c r="E6" s="6"/>
      <c r="F6" s="6"/>
      <c r="G6" s="14">
        <f>H6+I6</f>
        <v>155</v>
      </c>
      <c r="H6" s="15">
        <f> CEILING(MIN(A2,16)*20 + MIN(B2,16)*10 + MIN(C2,16)*5, 1)</f>
        <v>155</v>
      </c>
      <c r="I6" s="16">
        <f>CEILING(MAX(A2-16,0)^2*172.5 + MAX(B2-16,0)^2*86.25 + MAX(C2-16,0)^2*28.75,1)</f>
        <v>0</v>
      </c>
    </row>
    <row r="7" ht="26.25" customHeight="1">
      <c r="A7" s="21"/>
      <c r="B7" s="18" t="s">
        <v>26</v>
      </c>
      <c r="C7" s="6"/>
      <c r="D7" s="19"/>
      <c r="E7" s="6"/>
      <c r="F7" s="6"/>
      <c r="G7" s="24" t="s">
        <v>27</v>
      </c>
      <c r="H7" s="8" t="s">
        <v>28</v>
      </c>
      <c r="I7" s="9" t="s">
        <v>29</v>
      </c>
    </row>
    <row r="8" ht="26.25" customHeight="1">
      <c r="A8" s="21"/>
      <c r="B8" s="18" t="s">
        <v>30</v>
      </c>
      <c r="C8" s="6"/>
      <c r="D8" s="19"/>
      <c r="E8" s="6"/>
      <c r="F8" s="6"/>
      <c r="G8" s="14">
        <f>H8+I8</f>
        <v>35</v>
      </c>
      <c r="H8" s="15">
        <f>CEILING(MIN(B2,16)*10 + MIN(D2,16)*20 + MIN(C2,16)*5, 1)</f>
        <v>35</v>
      </c>
      <c r="I8" s="16">
        <f>CEILING(MAX(D2-16,0)^2*172.5 + MAX(B2-16,0)^2*86.25 + MAX(C2-16,0)^2*28.75,1)</f>
        <v>0</v>
      </c>
    </row>
    <row r="9" ht="26.25" customHeight="1">
      <c r="A9" s="17" t="s">
        <v>31</v>
      </c>
      <c r="B9" s="18" t="s">
        <v>32</v>
      </c>
      <c r="C9" s="6"/>
      <c r="D9" s="22" t="s">
        <v>31</v>
      </c>
      <c r="E9" s="6"/>
      <c r="F9" s="6"/>
      <c r="G9" s="25" t="s">
        <v>33</v>
      </c>
      <c r="H9" s="8" t="s">
        <v>34</v>
      </c>
      <c r="I9" s="9" t="s">
        <v>35</v>
      </c>
    </row>
    <row r="10" ht="26.25" customHeight="1">
      <c r="A10" s="17" t="s">
        <v>36</v>
      </c>
      <c r="B10" s="18" t="s">
        <v>37</v>
      </c>
      <c r="C10" s="18" t="s">
        <v>38</v>
      </c>
      <c r="D10" s="19"/>
      <c r="E10" s="6"/>
      <c r="F10" s="6"/>
      <c r="G10" s="14">
        <f>H10+I10</f>
        <v>58</v>
      </c>
      <c r="H10" s="15">
        <f>CEILING(MIN(A2,16)*4.5 + MIN(B2,16)*1 + MIN(C2,16)*6, 1)</f>
        <v>58</v>
      </c>
      <c r="I10" s="16">
        <f>CEILING(MAX(A2-16,0)^2*14 + MAX(C2-16,0)^2*20 + MAX(B2-16,0)^2*2,1)</f>
        <v>0</v>
      </c>
    </row>
    <row r="11" ht="26.25" customHeight="1">
      <c r="A11" s="28"/>
      <c r="B11" s="11" t="s">
        <v>39</v>
      </c>
      <c r="C11" s="11" t="s">
        <v>40</v>
      </c>
      <c r="D11" s="12" t="s">
        <v>41</v>
      </c>
      <c r="E11" s="6"/>
      <c r="F11" s="6"/>
      <c r="G11" s="24" t="s">
        <v>42</v>
      </c>
      <c r="H11" s="8" t="s">
        <v>43</v>
      </c>
      <c r="I11" s="9" t="s">
        <v>44</v>
      </c>
    </row>
    <row r="12" ht="26.25" customHeight="1">
      <c r="A12" s="6"/>
      <c r="B12" s="6"/>
      <c r="C12" s="6"/>
      <c r="D12" s="6"/>
      <c r="E12" s="6"/>
      <c r="F12" s="6"/>
      <c r="G12" s="14">
        <f>H12+I12</f>
        <v>31</v>
      </c>
      <c r="H12" s="15">
        <f>CEILING(MIN(B2,16)*1 + MIN(D2,16)*4.5 + MIN(C2,16)*6, 1)</f>
        <v>31</v>
      </c>
      <c r="I12" s="16">
        <f>CEILING(MAX(D2-16,0)^2*14 + MAX(C2-16,0)^2*20 + MAX(B2-16,0)^2*2,1)</f>
        <v>0</v>
      </c>
    </row>
    <row r="13" ht="26.25" customHeight="1">
      <c r="A13" s="31" t="s">
        <v>45</v>
      </c>
      <c r="B13" s="31" t="s">
        <v>46</v>
      </c>
      <c r="C13" s="31" t="s">
        <v>47</v>
      </c>
      <c r="D13" s="31" t="s">
        <v>48</v>
      </c>
      <c r="E13" s="6"/>
      <c r="F13" s="6"/>
      <c r="G13" s="32" t="s">
        <v>49</v>
      </c>
      <c r="H13" s="8" t="s">
        <v>50</v>
      </c>
      <c r="I13" s="33"/>
    </row>
    <row r="14" ht="26.25" customHeight="1">
      <c r="A14" s="39">
        <v>1.0</v>
      </c>
      <c r="B14" s="34" t="s">
        <v>51</v>
      </c>
      <c r="C14" s="39">
        <v>10.0</v>
      </c>
      <c r="D14" s="39">
        <v>5.0</v>
      </c>
      <c r="E14" s="6"/>
      <c r="F14" s="6"/>
      <c r="G14" s="14">
        <f>H14</f>
        <v>10</v>
      </c>
      <c r="H14" s="15">
        <f>5 + CEILING(MIN(B2,20)*5, 1)</f>
        <v>10</v>
      </c>
      <c r="I14" s="16"/>
    </row>
    <row r="15" ht="26.25" customHeight="1">
      <c r="A15" s="70">
        <v>2.0</v>
      </c>
      <c r="B15" s="39">
        <v>1.0</v>
      </c>
      <c r="C15" s="39">
        <v>11.0</v>
      </c>
      <c r="D15" s="39">
        <v>6.0</v>
      </c>
      <c r="E15" s="6"/>
      <c r="F15" s="6"/>
      <c r="G15" s="32" t="s">
        <v>52</v>
      </c>
      <c r="H15" s="8" t="s">
        <v>53</v>
      </c>
      <c r="I15" s="9" t="s">
        <v>54</v>
      </c>
    </row>
    <row r="16" ht="26.25" customHeight="1">
      <c r="A16" s="39">
        <v>3.0</v>
      </c>
      <c r="B16" s="39">
        <v>1.0</v>
      </c>
      <c r="C16" s="39">
        <v>12.0</v>
      </c>
      <c r="D16" s="39">
        <v>7.0</v>
      </c>
      <c r="E16" s="6"/>
      <c r="F16" s="6"/>
      <c r="G16" s="14">
        <f>H16+I16</f>
        <v>167</v>
      </c>
      <c r="H16" s="15">
        <f> 150 + CEILING(MIN(A2,16)*2 + MIN(D2,16)*2 + MIN(B2,16)*5, 1)</f>
        <v>167</v>
      </c>
      <c r="I16" s="16">
        <f>CEILING(MAX(A2-16,0)^2*(3+(1/3)) + MAX(D2-16,0)^2*(3+(1/3)) + MAX(B2-16,0)^2*(8+(1/3)),1)</f>
        <v>0</v>
      </c>
    </row>
    <row r="17" ht="26.25" customHeight="1">
      <c r="A17" s="39">
        <v>4.0</v>
      </c>
      <c r="B17" s="39">
        <v>2.0</v>
      </c>
      <c r="C17" s="39">
        <v>14.0</v>
      </c>
      <c r="D17" s="39">
        <v>8.0</v>
      </c>
      <c r="E17" s="6"/>
      <c r="F17" s="6"/>
      <c r="G17" s="24" t="s">
        <v>55</v>
      </c>
      <c r="H17" s="8" t="s">
        <v>56</v>
      </c>
      <c r="I17" s="9" t="s">
        <v>57</v>
      </c>
    </row>
    <row r="18" ht="26.25" customHeight="1">
      <c r="A18" s="39">
        <v>5.0</v>
      </c>
      <c r="B18" s="39">
        <v>1.0</v>
      </c>
      <c r="C18" s="39">
        <v>15.0</v>
      </c>
      <c r="D18" s="39">
        <v>9.0</v>
      </c>
      <c r="E18" s="6"/>
      <c r="F18" s="6"/>
      <c r="G18" s="35">
        <f>H18</f>
        <v>3</v>
      </c>
      <c r="H18" s="36">
        <f>CEILING(MIN(B2,16)*2.5, 1)</f>
        <v>3</v>
      </c>
      <c r="I18" s="37"/>
    </row>
    <row r="19" ht="26.25" customHeight="1">
      <c r="A19" s="39">
        <v>6.0</v>
      </c>
      <c r="B19" s="39">
        <v>2.0</v>
      </c>
      <c r="C19" s="39">
        <v>17.0</v>
      </c>
      <c r="D19" s="39">
        <v>10.0</v>
      </c>
      <c r="E19" s="6"/>
      <c r="F19" s="6"/>
      <c r="G19" s="6"/>
      <c r="H19" s="6"/>
      <c r="I19" s="6"/>
    </row>
    <row r="20" ht="26.25" customHeight="1">
      <c r="A20" s="39">
        <v>7.0</v>
      </c>
      <c r="B20" s="39">
        <v>1.0</v>
      </c>
      <c r="C20" s="39">
        <v>18.0</v>
      </c>
      <c r="D20" s="39">
        <v>11.0</v>
      </c>
      <c r="E20" s="6"/>
    </row>
    <row r="21" ht="26.25" customHeight="1">
      <c r="A21" s="39">
        <v>8.0</v>
      </c>
      <c r="B21" s="39">
        <v>1.0</v>
      </c>
      <c r="C21" s="39">
        <v>19.0</v>
      </c>
      <c r="D21" s="39">
        <v>12.0</v>
      </c>
      <c r="E21" s="6"/>
      <c r="F21" s="6"/>
      <c r="G21" s="6"/>
      <c r="H21" s="6"/>
      <c r="I21" s="6"/>
    </row>
    <row r="22" ht="26.25" customHeight="1">
      <c r="A22" s="39">
        <v>9.0</v>
      </c>
      <c r="B22" s="39">
        <v>2.0</v>
      </c>
      <c r="C22" s="39">
        <v>21.0</v>
      </c>
      <c r="D22" s="39">
        <v>13.0</v>
      </c>
      <c r="E22" s="6"/>
    </row>
    <row r="23" ht="26.25" customHeight="1">
      <c r="A23" s="39">
        <v>10.0</v>
      </c>
      <c r="B23" s="39">
        <v>1.0</v>
      </c>
      <c r="C23" s="39">
        <v>22.0</v>
      </c>
      <c r="D23" s="39">
        <v>14.0</v>
      </c>
      <c r="E23" s="6"/>
    </row>
    <row r="24" ht="26.25" customHeight="1">
      <c r="A24" s="39">
        <v>11.0</v>
      </c>
      <c r="B24" s="39">
        <v>1.0</v>
      </c>
      <c r="C24" s="39">
        <v>23.0</v>
      </c>
      <c r="D24" s="39">
        <v>15.0</v>
      </c>
      <c r="E24" s="6"/>
    </row>
    <row r="25" ht="26.25" customHeight="1">
      <c r="A25" s="39">
        <v>12.0</v>
      </c>
      <c r="B25" s="39">
        <v>2.0</v>
      </c>
      <c r="C25" s="39">
        <v>25.0</v>
      </c>
      <c r="D25" s="39">
        <v>16.0</v>
      </c>
      <c r="E25" s="6"/>
    </row>
    <row r="26" ht="26.25" customHeight="1">
      <c r="A26" s="39">
        <v>13.0</v>
      </c>
      <c r="B26" s="39">
        <v>1.0</v>
      </c>
      <c r="C26" s="39">
        <v>26.0</v>
      </c>
      <c r="D26" s="39">
        <v>16.0</v>
      </c>
      <c r="E26" s="6"/>
    </row>
    <row r="27" ht="26.25" customHeight="1">
      <c r="A27" s="39">
        <v>14.0</v>
      </c>
      <c r="B27" s="39">
        <v>1.0</v>
      </c>
      <c r="C27" s="39">
        <v>27.0</v>
      </c>
      <c r="D27" s="39">
        <v>16.0</v>
      </c>
      <c r="E27" s="6"/>
    </row>
    <row r="28" ht="26.25" customHeight="1">
      <c r="A28" s="39">
        <v>15.0</v>
      </c>
      <c r="B28" s="39">
        <v>2.0</v>
      </c>
      <c r="C28" s="39">
        <v>29.0</v>
      </c>
      <c r="D28" s="39">
        <v>16.0</v>
      </c>
      <c r="E28" s="6"/>
    </row>
    <row r="29" ht="26.25" customHeight="1">
      <c r="A29" s="39">
        <v>16.0</v>
      </c>
      <c r="B29" s="39">
        <v>1.0</v>
      </c>
      <c r="C29" s="39">
        <v>30.0</v>
      </c>
      <c r="D29" s="39">
        <v>16.0</v>
      </c>
      <c r="E29" s="6"/>
      <c r="F29" s="6"/>
      <c r="G29" s="6"/>
      <c r="H29" s="6"/>
    </row>
    <row r="30" ht="26.25" customHeight="1">
      <c r="A30" s="39">
        <v>17.0</v>
      </c>
      <c r="B30" s="39">
        <v>1.0</v>
      </c>
      <c r="C30" s="39">
        <v>31.0</v>
      </c>
      <c r="D30" s="39">
        <v>16.0</v>
      </c>
      <c r="E30" s="6"/>
      <c r="F30" s="6"/>
      <c r="G30" s="6"/>
      <c r="H30" s="6"/>
    </row>
    <row r="31" ht="26.25" customHeight="1">
      <c r="A31" s="39">
        <v>18.0</v>
      </c>
      <c r="B31" s="39">
        <v>2.0</v>
      </c>
      <c r="C31" s="39">
        <v>33.0</v>
      </c>
      <c r="D31" s="39">
        <v>16.0</v>
      </c>
      <c r="E31" s="6"/>
      <c r="F31" s="6"/>
    </row>
    <row r="32" ht="26.25" customHeight="1">
      <c r="A32" s="38"/>
      <c r="B32" s="38"/>
      <c r="C32" s="38"/>
      <c r="D32" s="38"/>
      <c r="E32" s="38"/>
      <c r="F32" s="38"/>
    </row>
    <row r="33" ht="26.25" customHeight="1">
      <c r="A33" s="38"/>
      <c r="B33" s="38"/>
      <c r="C33" s="38"/>
      <c r="D33" s="38"/>
      <c r="E33" s="38"/>
      <c r="F33" s="38"/>
    </row>
    <row r="34" ht="26.25" customHeight="1">
      <c r="A34" s="38"/>
      <c r="B34" s="38"/>
      <c r="C34" s="38"/>
      <c r="D34" s="38"/>
      <c r="E34" s="38"/>
      <c r="F34" s="38"/>
      <c r="G34" s="38"/>
      <c r="H34" s="38"/>
      <c r="I34" s="38"/>
      <c r="K34" s="6"/>
      <c r="L34" s="6"/>
      <c r="M34" s="6"/>
      <c r="N34" s="6"/>
    </row>
    <row r="35" ht="26.25" customHeight="1">
      <c r="A35" s="38"/>
      <c r="B35" s="38"/>
      <c r="C35" s="38"/>
      <c r="D35" s="38"/>
      <c r="E35" s="38"/>
      <c r="F35" s="38"/>
      <c r="G35" s="38"/>
      <c r="H35" s="38"/>
      <c r="I35" s="38"/>
      <c r="K35" s="6"/>
      <c r="L35" s="6"/>
      <c r="M35" s="6"/>
      <c r="N35" s="6"/>
    </row>
    <row r="36" ht="26.25" customHeight="1">
      <c r="A36" s="38"/>
      <c r="B36" s="38"/>
      <c r="C36" s="38"/>
      <c r="D36" s="38"/>
      <c r="E36" s="38"/>
      <c r="F36" s="38"/>
      <c r="G36" s="38"/>
      <c r="H36" s="38"/>
      <c r="I36" s="38"/>
      <c r="K36" s="6"/>
      <c r="L36" s="6"/>
      <c r="M36" s="6"/>
      <c r="N36" s="6"/>
    </row>
    <row r="37" ht="26.25" customHeight="1">
      <c r="A37" s="38"/>
      <c r="B37" s="38"/>
      <c r="C37" s="38"/>
      <c r="D37" s="38"/>
      <c r="E37" s="38"/>
      <c r="F37" s="38"/>
      <c r="G37" s="38"/>
      <c r="H37" s="38"/>
      <c r="I37" s="38"/>
      <c r="K37" s="6"/>
      <c r="L37" s="6"/>
      <c r="M37" s="6"/>
      <c r="N37" s="6"/>
    </row>
    <row r="38" ht="26.25" customHeight="1">
      <c r="A38" s="38"/>
      <c r="B38" s="38"/>
      <c r="C38" s="38"/>
      <c r="D38" s="38"/>
      <c r="E38" s="38"/>
      <c r="F38" s="38"/>
      <c r="G38" s="38"/>
      <c r="H38" s="38"/>
      <c r="I38" s="38"/>
      <c r="K38" s="6"/>
      <c r="L38" s="6"/>
      <c r="M38" s="6"/>
      <c r="N38" s="6"/>
    </row>
    <row r="39" ht="26.25" customHeight="1">
      <c r="A39" s="38"/>
      <c r="B39" s="38"/>
      <c r="C39" s="38"/>
      <c r="D39" s="38"/>
      <c r="E39" s="38"/>
      <c r="F39" s="38"/>
      <c r="G39" s="38"/>
      <c r="H39" s="38"/>
      <c r="I39" s="38"/>
      <c r="K39" s="6"/>
      <c r="L39" s="6"/>
      <c r="M39" s="6"/>
      <c r="N39" s="6"/>
    </row>
    <row r="40" ht="26.25" customHeight="1">
      <c r="A40" s="38"/>
      <c r="B40" s="38"/>
      <c r="C40" s="38"/>
      <c r="D40" s="38"/>
      <c r="E40" s="38"/>
      <c r="F40" s="38"/>
      <c r="G40" s="38"/>
      <c r="H40" s="38"/>
      <c r="I40" s="38"/>
    </row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dataValidations>
    <dataValidation type="custom" allowBlank="1" showDropDown="1" sqref="A14:D31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63"/>
    <col customWidth="1" min="3" max="3" width="18.63"/>
    <col customWidth="1" min="4" max="4" width="19.5"/>
    <col customWidth="1" min="5" max="5" width="21.75"/>
    <col customWidth="1" min="6" max="6" width="36.75"/>
    <col customWidth="1" min="7" max="26" width="18.63"/>
  </cols>
  <sheetData>
    <row r="1" ht="30.0" customHeight="1">
      <c r="A1" s="40" t="s">
        <v>58</v>
      </c>
      <c r="B1" s="34" t="s">
        <v>59</v>
      </c>
      <c r="C1" s="34" t="s">
        <v>60</v>
      </c>
      <c r="D1" s="34" t="s">
        <v>61</v>
      </c>
      <c r="E1" s="34" t="s">
        <v>138</v>
      </c>
      <c r="F1" s="41" t="s">
        <v>139</v>
      </c>
      <c r="G1" s="34" t="s">
        <v>64</v>
      </c>
      <c r="H1" s="42" t="s">
        <v>65</v>
      </c>
    </row>
    <row r="2" ht="30.0" customHeight="1">
      <c r="A2" s="47" t="s">
        <v>5</v>
      </c>
      <c r="B2" s="48">
        <f>Statistiques!G2</f>
        <v>6245</v>
      </c>
      <c r="C2" s="49"/>
      <c r="D2" s="48">
        <f t="shared" ref="D2:D3" si="1">B2+C2</f>
        <v>6245</v>
      </c>
      <c r="E2" s="39">
        <v>15.0</v>
      </c>
      <c r="F2" s="34"/>
      <c r="G2" s="34" t="s">
        <v>72</v>
      </c>
      <c r="H2" s="50" t="b">
        <v>0</v>
      </c>
    </row>
    <row r="3" ht="30.0" customHeight="1">
      <c r="A3" s="52" t="s">
        <v>11</v>
      </c>
      <c r="B3" s="48">
        <f>Statistiques!G4</f>
        <v>350</v>
      </c>
      <c r="C3" s="49"/>
      <c r="D3" s="48">
        <f t="shared" si="1"/>
        <v>350</v>
      </c>
      <c r="E3" s="39">
        <v>555.0</v>
      </c>
      <c r="F3" s="34"/>
      <c r="G3" s="34" t="s">
        <v>79</v>
      </c>
      <c r="H3" s="50" t="b">
        <v>0</v>
      </c>
    </row>
    <row r="4" ht="30.0" customHeight="1">
      <c r="A4" s="53" t="s">
        <v>85</v>
      </c>
      <c r="B4" s="48"/>
      <c r="C4" s="49"/>
      <c r="D4" s="48"/>
      <c r="E4" s="39">
        <v>0.0</v>
      </c>
      <c r="F4" s="34"/>
      <c r="G4" s="34" t="s">
        <v>86</v>
      </c>
      <c r="H4" s="50" t="b">
        <v>0</v>
      </c>
    </row>
    <row r="5" ht="30.0" customHeight="1">
      <c r="A5" s="49"/>
      <c r="B5" s="48"/>
      <c r="C5" s="49"/>
      <c r="D5" s="48"/>
      <c r="E5" s="48"/>
      <c r="F5" s="34"/>
      <c r="G5" s="34" t="s">
        <v>140</v>
      </c>
      <c r="H5" s="50" t="b">
        <v>0</v>
      </c>
    </row>
    <row r="6" ht="30.0" customHeight="1">
      <c r="A6" s="54" t="s">
        <v>20</v>
      </c>
      <c r="B6" s="48">
        <f>Statistiques!G6</f>
        <v>3125</v>
      </c>
      <c r="C6" s="49"/>
      <c r="D6" s="48">
        <f t="shared" ref="D6:D7" si="2">B6+C6</f>
        <v>3125</v>
      </c>
      <c r="E6" s="39">
        <v>35.0</v>
      </c>
      <c r="F6" s="34"/>
      <c r="G6" s="34" t="s">
        <v>88</v>
      </c>
      <c r="H6" s="50" t="b">
        <v>0</v>
      </c>
    </row>
    <row r="7" ht="30.0" customHeight="1">
      <c r="A7" s="55" t="s">
        <v>27</v>
      </c>
      <c r="B7" s="48">
        <f>Statistiques!G8</f>
        <v>85</v>
      </c>
      <c r="C7" s="49"/>
      <c r="D7" s="48">
        <f t="shared" si="2"/>
        <v>85</v>
      </c>
      <c r="E7" s="39">
        <v>135.0</v>
      </c>
      <c r="F7" s="34"/>
      <c r="G7" s="34" t="s">
        <v>89</v>
      </c>
      <c r="H7" s="50" t="b">
        <v>0</v>
      </c>
    </row>
    <row r="8" ht="30.0" customHeight="1">
      <c r="A8" s="49"/>
      <c r="B8" s="48"/>
      <c r="C8" s="49"/>
      <c r="D8" s="48"/>
      <c r="E8" s="48"/>
      <c r="F8" s="34"/>
      <c r="G8" s="34" t="s">
        <v>90</v>
      </c>
      <c r="H8" s="50" t="b">
        <v>0</v>
      </c>
    </row>
    <row r="9" ht="30.0" customHeight="1">
      <c r="A9" s="56" t="s">
        <v>33</v>
      </c>
      <c r="B9" s="48">
        <f>Statistiques!G10</f>
        <v>328</v>
      </c>
      <c r="C9" s="49"/>
      <c r="D9" s="48">
        <f t="shared" ref="D9:D10" si="3">B9+C9</f>
        <v>328</v>
      </c>
      <c r="E9" s="39">
        <v>31.0</v>
      </c>
      <c r="F9" s="34"/>
      <c r="G9" s="34" t="s">
        <v>91</v>
      </c>
      <c r="H9" s="50" t="b">
        <v>0</v>
      </c>
    </row>
    <row r="10" ht="30.0" customHeight="1">
      <c r="A10" s="57" t="s">
        <v>92</v>
      </c>
      <c r="B10" s="48">
        <f>Statistiques!G12</f>
        <v>41</v>
      </c>
      <c r="C10" s="49"/>
      <c r="D10" s="48">
        <f t="shared" si="3"/>
        <v>41</v>
      </c>
      <c r="E10" s="39">
        <v>54.0</v>
      </c>
      <c r="F10" s="34"/>
      <c r="G10" s="34" t="s">
        <v>93</v>
      </c>
      <c r="H10" s="50" t="b">
        <v>0</v>
      </c>
    </row>
    <row r="11" ht="30.0" customHeight="1">
      <c r="A11" s="49"/>
      <c r="B11" s="48"/>
      <c r="C11" s="49"/>
      <c r="D11" s="48"/>
      <c r="E11" s="48"/>
      <c r="F11" s="34"/>
      <c r="G11" s="34" t="s">
        <v>94</v>
      </c>
      <c r="H11" s="59" t="b">
        <v>0</v>
      </c>
    </row>
    <row r="12" ht="30.0" customHeight="1">
      <c r="A12" s="60" t="s">
        <v>95</v>
      </c>
      <c r="B12" s="48">
        <f>Statistiques!G14</f>
        <v>15</v>
      </c>
      <c r="C12" s="49"/>
      <c r="D12" s="48">
        <f t="shared" ref="D12:D13" si="4">B12+C12</f>
        <v>15</v>
      </c>
      <c r="E12" s="39">
        <v>10.0</v>
      </c>
      <c r="F12" s="34"/>
      <c r="G12" s="34" t="s">
        <v>96</v>
      </c>
      <c r="H12" s="59" t="b">
        <v>0</v>
      </c>
    </row>
    <row r="13" ht="30.0" customHeight="1">
      <c r="A13" s="60" t="s">
        <v>97</v>
      </c>
      <c r="B13" s="48">
        <f>Statistiques!G16</f>
        <v>250</v>
      </c>
      <c r="C13" s="49"/>
      <c r="D13" s="48">
        <f t="shared" si="4"/>
        <v>250</v>
      </c>
      <c r="E13" s="39">
        <v>165.0</v>
      </c>
      <c r="F13" s="34"/>
      <c r="G13" s="34" t="s">
        <v>98</v>
      </c>
      <c r="H13" s="59" t="b">
        <v>0</v>
      </c>
    </row>
    <row r="14" ht="30.0" customHeight="1">
      <c r="A14" s="49"/>
      <c r="B14" s="48"/>
      <c r="C14" s="49"/>
      <c r="D14" s="48"/>
      <c r="E14" s="48"/>
      <c r="F14" s="34"/>
      <c r="G14" s="34" t="s">
        <v>104</v>
      </c>
      <c r="H14" s="50" t="b">
        <v>0</v>
      </c>
    </row>
    <row r="15" ht="30.0" customHeight="1">
      <c r="A15" s="54" t="s">
        <v>105</v>
      </c>
      <c r="B15" s="48"/>
      <c r="C15" s="49"/>
      <c r="D15" s="48">
        <f t="shared" ref="D15:D17" si="5">B15+C15</f>
        <v>0</v>
      </c>
      <c r="E15" s="39">
        <v>0.0</v>
      </c>
      <c r="F15" s="34"/>
      <c r="G15" s="34" t="s">
        <v>106</v>
      </c>
      <c r="H15" s="50" t="b">
        <v>0</v>
      </c>
    </row>
    <row r="16" ht="30.0" customHeight="1">
      <c r="A16" s="55" t="s">
        <v>107</v>
      </c>
      <c r="B16" s="48">
        <f>Statistiques!G18</f>
        <v>5</v>
      </c>
      <c r="C16" s="49"/>
      <c r="D16" s="48">
        <f t="shared" si="5"/>
        <v>5</v>
      </c>
      <c r="E16" s="39">
        <v>3.0</v>
      </c>
      <c r="F16" s="34"/>
      <c r="G16" s="34" t="s">
        <v>108</v>
      </c>
      <c r="H16" s="50" t="b">
        <v>0</v>
      </c>
    </row>
    <row r="17" ht="30.0" customHeight="1">
      <c r="A17" s="61" t="s">
        <v>109</v>
      </c>
      <c r="B17" s="48"/>
      <c r="C17" s="49"/>
      <c r="D17" s="48">
        <f t="shared" si="5"/>
        <v>0</v>
      </c>
      <c r="E17" s="39">
        <v>0.0</v>
      </c>
      <c r="F17" s="62"/>
      <c r="G17" s="62"/>
      <c r="H17" s="59"/>
    </row>
    <row r="18" ht="30.0" customHeight="1">
      <c r="A18" s="38"/>
      <c r="B18" s="38"/>
      <c r="C18" s="38"/>
      <c r="D18" s="38"/>
      <c r="E18" s="38"/>
      <c r="F18" s="38"/>
      <c r="G18" s="38"/>
    </row>
    <row r="19" ht="30.0" customHeight="1">
      <c r="A19" s="63"/>
      <c r="B19" s="38"/>
      <c r="C19" s="38"/>
      <c r="D19" s="38"/>
      <c r="E19" s="38"/>
      <c r="F19" s="38"/>
      <c r="G19" s="38"/>
    </row>
    <row r="20" ht="30.0" customHeight="1">
      <c r="A20" s="63"/>
      <c r="B20" s="38"/>
      <c r="C20" s="38"/>
      <c r="D20" s="38"/>
      <c r="E20" s="38"/>
      <c r="F20" s="38"/>
      <c r="G20" s="38"/>
    </row>
    <row r="21" ht="30.0" customHeight="1">
      <c r="A21" s="38"/>
      <c r="D21" s="38"/>
      <c r="E21" s="38"/>
      <c r="F21" s="38"/>
      <c r="G21" s="38"/>
    </row>
    <row r="22" ht="30.0" customHeight="1">
      <c r="A22" s="38"/>
      <c r="B22" s="38"/>
      <c r="C22" s="38"/>
      <c r="D22" s="38"/>
      <c r="E22" s="38"/>
      <c r="G22" s="38"/>
    </row>
    <row r="23" ht="30.0" customHeight="1">
      <c r="A23" s="38"/>
      <c r="B23" s="38"/>
      <c r="C23" s="38"/>
      <c r="D23" s="38"/>
      <c r="E23" s="38"/>
      <c r="F23" s="38"/>
      <c r="G23" s="38"/>
    </row>
    <row r="24" ht="30.0" customHeight="1">
      <c r="A24" s="38"/>
      <c r="B24" s="38"/>
      <c r="C24" s="38"/>
      <c r="D24" s="38"/>
      <c r="E24" s="38"/>
      <c r="F24" s="38"/>
      <c r="G24" s="38"/>
    </row>
    <row r="25" ht="30.0" customHeight="1">
      <c r="A25" s="38"/>
      <c r="B25" s="38"/>
      <c r="C25" s="38"/>
      <c r="D25" s="38"/>
      <c r="E25" s="38"/>
      <c r="F25" s="38"/>
      <c r="G25" s="38"/>
    </row>
    <row r="26" ht="30.0" customHeight="1">
      <c r="A26" s="38"/>
      <c r="B26" s="38"/>
      <c r="C26" s="38"/>
      <c r="D26" s="38"/>
      <c r="E26" s="38"/>
      <c r="F26" s="38"/>
      <c r="G26" s="38"/>
    </row>
    <row r="27" ht="30.0" customHeight="1">
      <c r="A27" s="38"/>
      <c r="B27" s="38"/>
      <c r="C27" s="38"/>
      <c r="D27" s="38"/>
      <c r="E27" s="38"/>
      <c r="F27" s="38"/>
      <c r="G27" s="38"/>
    </row>
    <row r="28" ht="30.0" customHeight="1">
      <c r="A28" s="38"/>
      <c r="B28" s="38"/>
      <c r="C28" s="38"/>
      <c r="D28" s="38"/>
      <c r="E28" s="38"/>
      <c r="F28" s="38"/>
      <c r="G28" s="38"/>
    </row>
    <row r="29" ht="30.0" customHeight="1">
      <c r="A29" s="38"/>
      <c r="B29" s="38"/>
      <c r="C29" s="38"/>
      <c r="D29" s="38"/>
      <c r="E29" s="38"/>
      <c r="F29" s="38"/>
      <c r="G29" s="38"/>
    </row>
    <row r="30" ht="30.0" customHeight="1">
      <c r="A30" s="38"/>
      <c r="B30" s="38"/>
      <c r="C30" s="38"/>
      <c r="D30" s="38"/>
      <c r="E30" s="38"/>
      <c r="F30" s="38"/>
      <c r="G30" s="38"/>
    </row>
    <row r="31" ht="30.0" customHeight="1">
      <c r="A31" s="38"/>
      <c r="B31" s="38"/>
      <c r="C31" s="38"/>
      <c r="D31" s="38"/>
      <c r="E31" s="38"/>
      <c r="F31" s="38"/>
      <c r="G31" s="38"/>
    </row>
    <row r="32" ht="30.0" customHeight="1">
      <c r="A32" s="38"/>
      <c r="B32" s="38"/>
      <c r="C32" s="38"/>
      <c r="D32" s="38"/>
      <c r="E32" s="38"/>
      <c r="F32" s="38"/>
      <c r="G32" s="38"/>
    </row>
    <row r="33" ht="30.0" customHeight="1">
      <c r="A33" s="38"/>
      <c r="B33" s="38"/>
      <c r="C33" s="38"/>
      <c r="D33" s="38"/>
      <c r="E33" s="38"/>
      <c r="F33" s="38"/>
      <c r="G33" s="38"/>
    </row>
    <row r="34" ht="30.0" customHeight="1">
      <c r="A34" s="38"/>
      <c r="B34" s="38"/>
      <c r="C34" s="38"/>
      <c r="D34" s="38"/>
      <c r="E34" s="38"/>
      <c r="F34" s="38"/>
      <c r="G34" s="38"/>
    </row>
    <row r="35" ht="30.0" customHeight="1">
      <c r="A35" s="38"/>
      <c r="B35" s="38"/>
      <c r="C35" s="38"/>
      <c r="D35" s="38"/>
      <c r="E35" s="38"/>
      <c r="F35" s="38"/>
      <c r="G35" s="38"/>
    </row>
    <row r="36" ht="30.0" customHeight="1">
      <c r="A36" s="38"/>
      <c r="B36" s="38"/>
      <c r="C36" s="38"/>
      <c r="D36" s="38"/>
      <c r="E36" s="38"/>
      <c r="F36" s="38"/>
      <c r="G36" s="38"/>
    </row>
    <row r="37" ht="30.0" customHeight="1">
      <c r="A37" s="38"/>
      <c r="B37" s="38"/>
      <c r="C37" s="38"/>
      <c r="D37" s="38"/>
      <c r="E37" s="38"/>
      <c r="F37" s="38"/>
      <c r="G37" s="38"/>
    </row>
    <row r="38" ht="30.0" customHeight="1">
      <c r="A38" s="38"/>
      <c r="B38" s="38"/>
      <c r="C38" s="38"/>
      <c r="D38" s="38"/>
      <c r="E38" s="38"/>
      <c r="F38" s="38"/>
      <c r="G38" s="38"/>
    </row>
    <row r="39" ht="30.0" customHeight="1">
      <c r="A39" s="38"/>
      <c r="B39" s="38"/>
      <c r="C39" s="38"/>
      <c r="D39" s="38"/>
      <c r="E39" s="38"/>
      <c r="F39" s="38"/>
      <c r="G39" s="38"/>
    </row>
    <row r="40" ht="30.0" customHeight="1">
      <c r="A40" s="38"/>
      <c r="B40" s="38"/>
      <c r="C40" s="38"/>
      <c r="D40" s="38"/>
      <c r="E40" s="38"/>
      <c r="F40" s="38"/>
      <c r="G40" s="38"/>
    </row>
    <row r="41" ht="30.0" customHeight="1">
      <c r="A41" s="38"/>
      <c r="B41" s="38"/>
      <c r="C41" s="38"/>
      <c r="D41" s="38"/>
      <c r="E41" s="38"/>
      <c r="F41" s="38"/>
      <c r="G41" s="38"/>
    </row>
    <row r="42" ht="30.0" customHeight="1">
      <c r="A42" s="38"/>
      <c r="B42" s="38"/>
      <c r="C42" s="38"/>
      <c r="D42" s="38"/>
      <c r="E42" s="38"/>
      <c r="F42" s="38"/>
      <c r="G42" s="38"/>
    </row>
    <row r="43" ht="30.0" customHeight="1">
      <c r="A43" s="38"/>
      <c r="B43" s="38"/>
      <c r="C43" s="38"/>
      <c r="D43" s="38"/>
      <c r="E43" s="38"/>
      <c r="F43" s="38"/>
      <c r="G43" s="38"/>
    </row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dataValidations>
    <dataValidation type="custom" allowBlank="1" showDropDown="1" sqref="B2:B17 D2:E1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63"/>
    <col customWidth="1" min="3" max="3" width="18.63"/>
    <col customWidth="1" min="4" max="4" width="23.13"/>
    <col customWidth="1" min="5" max="5" width="28.25"/>
    <col customWidth="1" min="6" max="6" width="36.75"/>
    <col customWidth="1" min="7" max="26" width="18.63"/>
  </cols>
  <sheetData>
    <row r="1" ht="30.0" customHeight="1">
      <c r="A1" s="40" t="s">
        <v>58</v>
      </c>
      <c r="B1" s="34" t="s">
        <v>59</v>
      </c>
      <c r="C1" s="34" t="s">
        <v>60</v>
      </c>
      <c r="D1" s="34" t="s">
        <v>61</v>
      </c>
      <c r="E1" s="34" t="s">
        <v>141</v>
      </c>
      <c r="F1" s="41" t="s">
        <v>63</v>
      </c>
      <c r="G1" s="34" t="s">
        <v>64</v>
      </c>
      <c r="H1" s="42" t="s">
        <v>65</v>
      </c>
      <c r="I1" s="71" t="s">
        <v>139</v>
      </c>
      <c r="K1" s="43" t="s">
        <v>66</v>
      </c>
      <c r="L1" s="43" t="s">
        <v>67</v>
      </c>
      <c r="M1" s="43" t="s">
        <v>68</v>
      </c>
    </row>
    <row r="2" ht="30.0" customHeight="1">
      <c r="A2" s="47" t="s">
        <v>5</v>
      </c>
      <c r="B2" s="48">
        <f>'Stats Bap'!G2</f>
        <v>685</v>
      </c>
      <c r="C2" s="34">
        <v>50.0</v>
      </c>
      <c r="D2" s="48">
        <f t="shared" ref="D2:D3" si="1">B2+C2</f>
        <v>735</v>
      </c>
      <c r="E2" s="39">
        <v>0.0</v>
      </c>
      <c r="F2" s="34">
        <v>0.0</v>
      </c>
      <c r="G2" s="34" t="s">
        <v>72</v>
      </c>
      <c r="H2" s="50" t="b">
        <v>0</v>
      </c>
      <c r="I2" s="72"/>
      <c r="K2" s="64" t="b">
        <v>1</v>
      </c>
      <c r="L2" s="64" t="s">
        <v>142</v>
      </c>
      <c r="M2" s="73">
        <v>155.0</v>
      </c>
      <c r="N2" s="74">
        <f>M2*1.5</f>
        <v>232.5</v>
      </c>
      <c r="O2" s="74">
        <f>M2*1.75</f>
        <v>271.25</v>
      </c>
      <c r="R2" s="65"/>
    </row>
    <row r="3" ht="30.0" customHeight="1">
      <c r="A3" s="52" t="s">
        <v>11</v>
      </c>
      <c r="B3" s="48">
        <f>'Stats Bap'!G4</f>
        <v>180</v>
      </c>
      <c r="C3" s="34"/>
      <c r="D3" s="48">
        <f t="shared" si="1"/>
        <v>180</v>
      </c>
      <c r="E3" s="39">
        <v>40.0</v>
      </c>
      <c r="F3" s="34">
        <v>40.0</v>
      </c>
      <c r="G3" s="34" t="s">
        <v>79</v>
      </c>
      <c r="H3" s="50" t="b">
        <v>0</v>
      </c>
      <c r="I3" s="72"/>
      <c r="K3" s="44" t="s">
        <v>80</v>
      </c>
      <c r="L3" s="44" t="s">
        <v>81</v>
      </c>
      <c r="M3" s="51">
        <v>310.0</v>
      </c>
      <c r="R3" s="44"/>
    </row>
    <row r="4" ht="30.0" customHeight="1">
      <c r="A4" s="53" t="s">
        <v>85</v>
      </c>
      <c r="B4" s="48"/>
      <c r="C4" s="49"/>
      <c r="D4" s="48"/>
      <c r="E4" s="39">
        <v>0.0</v>
      </c>
      <c r="F4" s="34">
        <v>0.0</v>
      </c>
      <c r="G4" s="34" t="s">
        <v>86</v>
      </c>
      <c r="H4" s="50" t="b">
        <v>0</v>
      </c>
      <c r="I4" s="72"/>
      <c r="L4" s="44">
        <v>1.0</v>
      </c>
    </row>
    <row r="5" ht="30.0" customHeight="1">
      <c r="A5" s="49"/>
      <c r="B5" s="48"/>
      <c r="C5" s="49"/>
      <c r="D5" s="48"/>
      <c r="E5" s="48"/>
      <c r="F5" s="34"/>
      <c r="G5" s="34" t="s">
        <v>140</v>
      </c>
      <c r="H5" s="50" t="b">
        <v>0</v>
      </c>
      <c r="I5" s="72"/>
    </row>
    <row r="6" ht="30.0" customHeight="1">
      <c r="A6" s="54" t="s">
        <v>20</v>
      </c>
      <c r="B6" s="48">
        <f>'Stats Bap'!G6</f>
        <v>155</v>
      </c>
      <c r="C6" s="49"/>
      <c r="D6" s="48">
        <f t="shared" ref="D6:D7" si="2">B6+C6</f>
        <v>155</v>
      </c>
      <c r="E6" s="39">
        <v>155.0</v>
      </c>
      <c r="F6" s="34">
        <v>155.0</v>
      </c>
      <c r="G6" s="34" t="s">
        <v>88</v>
      </c>
      <c r="H6" s="50" t="b">
        <v>0</v>
      </c>
      <c r="I6" s="72"/>
      <c r="K6" s="75" t="s">
        <v>143</v>
      </c>
    </row>
    <row r="7" ht="30.0" customHeight="1">
      <c r="A7" s="55" t="s">
        <v>27</v>
      </c>
      <c r="B7" s="48">
        <f>'Stats Bap'!G8</f>
        <v>35</v>
      </c>
      <c r="C7" s="49"/>
      <c r="D7" s="48">
        <f t="shared" si="2"/>
        <v>35</v>
      </c>
      <c r="E7" s="39">
        <v>35.0</v>
      </c>
      <c r="F7" s="34">
        <v>35.0</v>
      </c>
      <c r="G7" s="34" t="s">
        <v>89</v>
      </c>
      <c r="H7" s="50" t="b">
        <v>0</v>
      </c>
      <c r="I7" s="72"/>
      <c r="K7" s="44">
        <v>3.0</v>
      </c>
    </row>
    <row r="8" ht="30.0" customHeight="1">
      <c r="A8" s="49"/>
      <c r="B8" s="76"/>
      <c r="C8" s="49"/>
      <c r="D8" s="48"/>
      <c r="E8" s="48"/>
      <c r="F8" s="34"/>
      <c r="G8" s="34" t="s">
        <v>90</v>
      </c>
      <c r="H8" s="50" t="b">
        <v>0</v>
      </c>
      <c r="I8" s="72"/>
      <c r="J8" s="77"/>
    </row>
    <row r="9" ht="30.0" customHeight="1">
      <c r="A9" s="56" t="s">
        <v>33</v>
      </c>
      <c r="B9" s="48">
        <f>'Stats Bap'!G10</f>
        <v>58</v>
      </c>
      <c r="C9" s="49"/>
      <c r="D9" s="48">
        <f t="shared" ref="D9:D10" si="3">B9+C9</f>
        <v>58</v>
      </c>
      <c r="E9" s="39">
        <v>58.0</v>
      </c>
      <c r="F9" s="34">
        <v>58.0</v>
      </c>
      <c r="G9" s="34" t="s">
        <v>91</v>
      </c>
      <c r="H9" s="50" t="b">
        <v>0</v>
      </c>
      <c r="I9" s="72"/>
    </row>
    <row r="10" ht="30.0" customHeight="1">
      <c r="A10" s="57" t="s">
        <v>92</v>
      </c>
      <c r="B10" s="48">
        <f>'Stats Bap'!G12</f>
        <v>31</v>
      </c>
      <c r="C10" s="49"/>
      <c r="D10" s="48">
        <f t="shared" si="3"/>
        <v>31</v>
      </c>
      <c r="E10" s="39">
        <v>31.0</v>
      </c>
      <c r="F10" s="34">
        <v>31.0</v>
      </c>
      <c r="G10" s="34" t="s">
        <v>93</v>
      </c>
      <c r="H10" s="50" t="b">
        <v>0</v>
      </c>
      <c r="I10" s="72"/>
      <c r="R10" s="44">
        <v>310.0</v>
      </c>
    </row>
    <row r="11" ht="30.0" customHeight="1">
      <c r="A11" s="49"/>
      <c r="B11" s="48"/>
      <c r="C11" s="49"/>
      <c r="D11" s="48"/>
      <c r="E11" s="48"/>
      <c r="F11" s="34"/>
      <c r="G11" s="34" t="s">
        <v>94</v>
      </c>
      <c r="H11" s="59" t="b">
        <v>0</v>
      </c>
      <c r="I11" s="78"/>
    </row>
    <row r="12" ht="30.0" customHeight="1">
      <c r="A12" s="60" t="s">
        <v>95</v>
      </c>
      <c r="B12" s="48">
        <f>'Stats Bap'!G14</f>
        <v>10</v>
      </c>
      <c r="C12" s="49"/>
      <c r="D12" s="48">
        <f t="shared" ref="D12:D13" si="4">B12+C12</f>
        <v>10</v>
      </c>
      <c r="E12" s="39">
        <v>10.0</v>
      </c>
      <c r="F12" s="34">
        <v>10.0</v>
      </c>
      <c r="G12" s="34" t="s">
        <v>96</v>
      </c>
      <c r="H12" s="59" t="b">
        <v>0</v>
      </c>
      <c r="I12" s="78"/>
    </row>
    <row r="13" ht="30.0" customHeight="1">
      <c r="A13" s="60" t="s">
        <v>97</v>
      </c>
      <c r="B13" s="48">
        <f>'Stats Bap'!G16</f>
        <v>167</v>
      </c>
      <c r="C13" s="49"/>
      <c r="D13" s="48">
        <f t="shared" si="4"/>
        <v>167</v>
      </c>
      <c r="E13" s="39">
        <v>167.0</v>
      </c>
      <c r="F13" s="34"/>
      <c r="G13" s="34" t="s">
        <v>98</v>
      </c>
      <c r="H13" s="59" t="b">
        <v>0</v>
      </c>
      <c r="I13" s="78"/>
      <c r="O13" s="44">
        <v>34.0</v>
      </c>
    </row>
    <row r="14" ht="30.0" customHeight="1">
      <c r="A14" s="34" t="s">
        <v>99</v>
      </c>
      <c r="B14" s="34" t="s">
        <v>100</v>
      </c>
      <c r="C14" s="34" t="s">
        <v>101</v>
      </c>
      <c r="D14" s="34" t="s">
        <v>144</v>
      </c>
      <c r="E14" s="34" t="s">
        <v>103</v>
      </c>
      <c r="F14" s="31">
        <v>0.0</v>
      </c>
      <c r="G14" s="34" t="s">
        <v>104</v>
      </c>
      <c r="H14" s="50" t="b">
        <v>0</v>
      </c>
      <c r="I14" s="72"/>
    </row>
    <row r="15" ht="30.0" customHeight="1">
      <c r="A15" s="54" t="s">
        <v>105</v>
      </c>
      <c r="B15" s="48"/>
      <c r="C15" s="34"/>
      <c r="D15" s="48">
        <f t="shared" ref="D15:D17" si="5">B15+C15</f>
        <v>0</v>
      </c>
      <c r="E15" s="39">
        <v>0.0</v>
      </c>
      <c r="F15" s="34"/>
      <c r="G15" s="34" t="s">
        <v>106</v>
      </c>
      <c r="H15" s="50" t="b">
        <v>0</v>
      </c>
      <c r="I15" s="71"/>
      <c r="L15" s="79" t="s">
        <v>145</v>
      </c>
      <c r="M15" s="79"/>
      <c r="N15" s="79"/>
      <c r="O15" s="79"/>
      <c r="P15" s="79"/>
    </row>
    <row r="16" ht="30.0" customHeight="1">
      <c r="A16" s="55" t="s">
        <v>107</v>
      </c>
      <c r="B16" s="48"/>
      <c r="C16" s="49"/>
      <c r="D16" s="48">
        <f t="shared" si="5"/>
        <v>0</v>
      </c>
      <c r="E16" s="39">
        <v>0.0</v>
      </c>
      <c r="F16" s="34"/>
      <c r="G16" s="34" t="s">
        <v>108</v>
      </c>
      <c r="H16" s="50" t="b">
        <v>0</v>
      </c>
      <c r="I16" s="72"/>
      <c r="L16" s="79" t="s">
        <v>146</v>
      </c>
      <c r="M16" s="79"/>
      <c r="N16" s="79"/>
      <c r="O16" s="79"/>
      <c r="P16" s="79"/>
    </row>
    <row r="17" ht="30.0" customHeight="1">
      <c r="A17" s="61" t="s">
        <v>109</v>
      </c>
      <c r="B17" s="48"/>
      <c r="C17" s="34">
        <v>10.0</v>
      </c>
      <c r="D17" s="48">
        <f t="shared" si="5"/>
        <v>10</v>
      </c>
      <c r="E17" s="39">
        <v>10.0</v>
      </c>
      <c r="F17" s="62"/>
      <c r="G17" s="62"/>
      <c r="H17" s="59"/>
      <c r="I17" s="78"/>
      <c r="L17" s="44" t="s">
        <v>147</v>
      </c>
    </row>
    <row r="18" ht="30.0" customHeight="1">
      <c r="A18" s="38"/>
      <c r="B18" s="38"/>
      <c r="C18" s="38"/>
      <c r="D18" s="38"/>
      <c r="E18" s="38"/>
      <c r="F18" s="38"/>
      <c r="G18" s="38"/>
    </row>
    <row r="19" ht="30.0" customHeight="1">
      <c r="A19" s="63"/>
      <c r="B19" s="38"/>
      <c r="C19" s="38"/>
      <c r="D19" s="38"/>
      <c r="E19" s="38"/>
      <c r="F19" s="38"/>
      <c r="G19" s="80" t="s">
        <v>148</v>
      </c>
      <c r="H19" s="81"/>
      <c r="N19" s="79"/>
      <c r="O19" s="79"/>
      <c r="P19" s="79"/>
      <c r="Q19" s="79"/>
      <c r="R19" s="79"/>
    </row>
    <row r="20" ht="30.0" customHeight="1">
      <c r="A20" s="63"/>
      <c r="B20" s="38"/>
      <c r="C20" s="38"/>
      <c r="D20" s="38"/>
      <c r="E20" s="38"/>
      <c r="F20" s="38"/>
      <c r="G20" s="80" t="s">
        <v>149</v>
      </c>
      <c r="H20" s="81"/>
      <c r="N20" s="79"/>
      <c r="O20" s="79"/>
      <c r="P20" s="79"/>
      <c r="Q20" s="79"/>
      <c r="R20" s="79"/>
    </row>
    <row r="21" ht="30.0" customHeight="1">
      <c r="A21" s="38"/>
      <c r="D21" s="38"/>
      <c r="E21" s="38"/>
      <c r="F21" s="38"/>
      <c r="G21" s="38"/>
      <c r="H21" s="82" t="s">
        <v>150</v>
      </c>
    </row>
    <row r="22" ht="30.0" customHeight="1">
      <c r="A22" s="66"/>
      <c r="B22" s="58"/>
      <c r="C22" s="58"/>
      <c r="D22" s="58"/>
      <c r="E22" s="38"/>
      <c r="G22" s="38"/>
      <c r="H22" s="44" t="s">
        <v>151</v>
      </c>
    </row>
    <row r="23" ht="30.0" customHeight="1">
      <c r="A23" s="66" t="s">
        <v>112</v>
      </c>
      <c r="B23" s="67" t="s">
        <v>113</v>
      </c>
      <c r="C23" s="67" t="s">
        <v>114</v>
      </c>
      <c r="D23" s="67" t="s">
        <v>115</v>
      </c>
      <c r="E23" s="42" t="s">
        <v>116</v>
      </c>
    </row>
    <row r="24" ht="30.0" customHeight="1">
      <c r="B24" s="68" t="s">
        <v>117</v>
      </c>
      <c r="C24" s="69" t="s">
        <v>152</v>
      </c>
      <c r="D24" s="69">
        <v>1.0</v>
      </c>
      <c r="E24" s="62"/>
      <c r="G24" s="80"/>
    </row>
    <row r="25" ht="30.0" customHeight="1">
      <c r="B25" s="68"/>
      <c r="E25" s="62"/>
      <c r="G25" s="80"/>
    </row>
    <row r="26" ht="30.0" customHeight="1">
      <c r="B26" s="68" t="s">
        <v>120</v>
      </c>
      <c r="C26" s="69" t="s">
        <v>121</v>
      </c>
      <c r="D26" s="69">
        <v>1.0</v>
      </c>
      <c r="E26" s="50" t="s">
        <v>122</v>
      </c>
    </row>
    <row r="27" ht="30.0" customHeight="1">
      <c r="B27" s="68" t="s">
        <v>120</v>
      </c>
      <c r="C27" s="69" t="s">
        <v>123</v>
      </c>
      <c r="D27" s="69">
        <v>1.0</v>
      </c>
      <c r="E27" s="50" t="s">
        <v>124</v>
      </c>
    </row>
    <row r="28" ht="30.0" customHeight="1">
      <c r="B28" s="68" t="s">
        <v>129</v>
      </c>
      <c r="C28" s="69" t="s">
        <v>131</v>
      </c>
      <c r="D28" s="69">
        <v>0.0</v>
      </c>
      <c r="E28" s="50"/>
    </row>
    <row r="29" ht="30.0" customHeight="1">
      <c r="A29" s="38"/>
      <c r="B29" s="68" t="s">
        <v>129</v>
      </c>
      <c r="C29" s="69" t="s">
        <v>132</v>
      </c>
      <c r="D29" s="69">
        <v>10.0</v>
      </c>
      <c r="E29" s="50" t="s">
        <v>133</v>
      </c>
    </row>
    <row r="30" ht="30.0" customHeight="1">
      <c r="A30" s="38"/>
      <c r="B30" s="68" t="s">
        <v>129</v>
      </c>
      <c r="C30" s="69" t="s">
        <v>134</v>
      </c>
      <c r="D30" s="69">
        <v>10.0</v>
      </c>
      <c r="E30" s="50" t="s">
        <v>135</v>
      </c>
    </row>
    <row r="31" ht="30.0" customHeight="1">
      <c r="A31" s="38"/>
      <c r="B31" s="68" t="s">
        <v>129</v>
      </c>
      <c r="C31" s="69" t="s">
        <v>136</v>
      </c>
      <c r="D31" s="69">
        <v>10.0</v>
      </c>
      <c r="E31" s="50" t="s">
        <v>137</v>
      </c>
    </row>
    <row r="32" ht="30.75" customHeight="1">
      <c r="A32" s="38"/>
      <c r="B32" s="68"/>
      <c r="C32" s="50"/>
      <c r="D32" s="83"/>
      <c r="E32" s="50"/>
    </row>
    <row r="33" ht="30.0" customHeight="1">
      <c r="A33" s="38"/>
      <c r="B33" s="84"/>
      <c r="C33" s="50"/>
      <c r="D33" s="83"/>
      <c r="E33" s="50"/>
    </row>
    <row r="34" ht="30.0" customHeight="1">
      <c r="A34" s="38"/>
      <c r="B34" s="85"/>
      <c r="C34" s="71"/>
      <c r="D34" s="86"/>
      <c r="E34" s="71"/>
    </row>
    <row r="35" ht="30.0" customHeight="1">
      <c r="A35" s="38"/>
      <c r="B35" s="85"/>
      <c r="C35" s="71"/>
      <c r="D35" s="86"/>
      <c r="E35" s="71"/>
      <c r="F35" s="38"/>
    </row>
    <row r="36" ht="30.0" customHeight="1">
      <c r="A36" s="38"/>
      <c r="B36" s="85"/>
      <c r="C36" s="71"/>
      <c r="D36" s="86"/>
      <c r="E36" s="71"/>
      <c r="F36" s="38"/>
      <c r="G36" s="38"/>
    </row>
    <row r="37" ht="30.0" customHeight="1">
      <c r="A37" s="38"/>
      <c r="B37" s="85" t="s">
        <v>153</v>
      </c>
      <c r="C37" s="71" t="s">
        <v>154</v>
      </c>
      <c r="D37" s="86">
        <v>1.0</v>
      </c>
      <c r="E37" s="71" t="s">
        <v>155</v>
      </c>
      <c r="F37" s="38"/>
      <c r="G37" s="38"/>
    </row>
    <row r="38" ht="30.0" customHeight="1">
      <c r="A38" s="38"/>
      <c r="B38" s="38"/>
      <c r="C38" s="38"/>
      <c r="D38" s="38"/>
      <c r="E38" s="38"/>
      <c r="F38" s="38"/>
      <c r="G38" s="87" t="s">
        <v>156</v>
      </c>
    </row>
    <row r="39" ht="30.0" customHeight="1">
      <c r="A39" s="38"/>
      <c r="B39" s="38"/>
      <c r="C39" s="38"/>
      <c r="D39" s="38"/>
      <c r="E39" s="38"/>
      <c r="F39" s="63"/>
      <c r="G39" s="87" t="s">
        <v>157</v>
      </c>
      <c r="J39" s="63"/>
    </row>
    <row r="40" ht="30.0" customHeight="1">
      <c r="A40" s="38"/>
      <c r="B40" s="38"/>
      <c r="C40" s="38"/>
      <c r="D40" s="38"/>
      <c r="E40" s="38"/>
      <c r="F40" s="63"/>
      <c r="G40" s="87" t="s">
        <v>158</v>
      </c>
      <c r="J40" s="63"/>
    </row>
    <row r="41" ht="30.0" customHeight="1">
      <c r="B41" s="38"/>
      <c r="C41" s="38"/>
      <c r="D41" s="38"/>
      <c r="E41" s="38"/>
      <c r="G41" s="44" t="s">
        <v>159</v>
      </c>
    </row>
    <row r="42" ht="30.0" customHeight="1">
      <c r="G42" s="44" t="s">
        <v>160</v>
      </c>
    </row>
    <row r="43" ht="30.0" customHeight="1">
      <c r="G43" s="44" t="s">
        <v>161</v>
      </c>
    </row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dataValidations>
    <dataValidation type="custom" allowBlank="1" showDropDown="1" sqref="B2:B17 D2:E1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4" t="s">
        <v>162</v>
      </c>
      <c r="B1" s="44" t="s">
        <v>163</v>
      </c>
      <c r="C1" s="44" t="s">
        <v>164</v>
      </c>
      <c r="D1" s="44" t="s">
        <v>165</v>
      </c>
      <c r="E1" s="44" t="s">
        <v>166</v>
      </c>
      <c r="F1" s="44" t="s">
        <v>68</v>
      </c>
    </row>
    <row r="2">
      <c r="A2" s="88">
        <v>45752.66225704861</v>
      </c>
      <c r="B2" s="44" t="s">
        <v>167</v>
      </c>
      <c r="C2" s="44" t="s">
        <v>80</v>
      </c>
      <c r="D2" s="44" t="s">
        <v>168</v>
      </c>
      <c r="E2" s="44" t="s">
        <v>169</v>
      </c>
      <c r="F2" s="58">
        <v>131.0</v>
      </c>
    </row>
    <row r="3">
      <c r="A3" s="88">
        <v>45752.66402979167</v>
      </c>
      <c r="B3" s="44" t="s">
        <v>167</v>
      </c>
      <c r="C3" s="44" t="s">
        <v>80</v>
      </c>
      <c r="D3" s="44" t="s">
        <v>170</v>
      </c>
      <c r="E3" s="44" t="s">
        <v>169</v>
      </c>
      <c r="F3" s="58">
        <v>0.0</v>
      </c>
    </row>
    <row r="4">
      <c r="A4" s="88">
        <v>45752.80441548611</v>
      </c>
      <c r="B4" s="44" t="s">
        <v>167</v>
      </c>
      <c r="C4" s="44" t="s">
        <v>80</v>
      </c>
      <c r="D4" s="44" t="s">
        <v>168</v>
      </c>
      <c r="E4" s="44" t="s">
        <v>169</v>
      </c>
      <c r="F4" s="58">
        <v>43.0</v>
      </c>
    </row>
    <row r="5">
      <c r="A5" s="88">
        <v>45752.80457570602</v>
      </c>
      <c r="B5" s="44" t="s">
        <v>167</v>
      </c>
      <c r="C5" s="44" t="s">
        <v>80</v>
      </c>
      <c r="D5" s="44" t="s">
        <v>171</v>
      </c>
      <c r="E5" s="44" t="s">
        <v>169</v>
      </c>
      <c r="F5" s="58">
        <v>0.0</v>
      </c>
    </row>
    <row r="6">
      <c r="A6" s="88">
        <v>45752.80483692129</v>
      </c>
      <c r="B6" s="44" t="s">
        <v>167</v>
      </c>
      <c r="C6" s="44" t="s">
        <v>80</v>
      </c>
      <c r="D6" s="44" t="s">
        <v>168</v>
      </c>
      <c r="E6" s="44" t="s">
        <v>169</v>
      </c>
      <c r="F6" s="58">
        <v>43.0</v>
      </c>
    </row>
    <row r="7">
      <c r="A7" s="88">
        <v>45752.80494231482</v>
      </c>
      <c r="B7" s="44" t="s">
        <v>167</v>
      </c>
      <c r="C7" s="44" t="s">
        <v>80</v>
      </c>
      <c r="D7" s="44" t="s">
        <v>168</v>
      </c>
      <c r="E7" s="44" t="s">
        <v>169</v>
      </c>
      <c r="F7" s="58">
        <v>43.0</v>
      </c>
    </row>
    <row r="8">
      <c r="A8" s="88">
        <v>45752.82155</v>
      </c>
      <c r="B8" s="44" t="s">
        <v>73</v>
      </c>
      <c r="C8" s="44" t="s">
        <v>80</v>
      </c>
      <c r="D8" s="44" t="s">
        <v>168</v>
      </c>
      <c r="E8" s="44" t="s">
        <v>169</v>
      </c>
      <c r="F8" s="58">
        <v>131.0</v>
      </c>
    </row>
    <row r="9">
      <c r="A9" s="88">
        <v>45752.82280681713</v>
      </c>
      <c r="B9" s="44" t="s">
        <v>167</v>
      </c>
      <c r="C9" s="44" t="s">
        <v>80</v>
      </c>
      <c r="D9" s="44" t="s">
        <v>172</v>
      </c>
      <c r="E9" s="44" t="s">
        <v>173</v>
      </c>
      <c r="F9" s="58">
        <v>318.0</v>
      </c>
    </row>
    <row r="10">
      <c r="A10" s="88">
        <v>45752.82310753472</v>
      </c>
      <c r="B10" s="44" t="s">
        <v>73</v>
      </c>
      <c r="C10" s="44" t="s">
        <v>80</v>
      </c>
      <c r="D10" s="44" t="s">
        <v>172</v>
      </c>
      <c r="E10" s="44" t="s">
        <v>169</v>
      </c>
      <c r="F10" s="58">
        <v>105.0</v>
      </c>
    </row>
    <row r="11">
      <c r="A11" s="88">
        <v>45752.82324778935</v>
      </c>
      <c r="B11" s="44" t="s">
        <v>73</v>
      </c>
      <c r="C11" s="44" t="s">
        <v>80</v>
      </c>
      <c r="D11" s="44" t="s">
        <v>170</v>
      </c>
      <c r="E11" s="44" t="s">
        <v>169</v>
      </c>
      <c r="F11" s="58">
        <v>0.0</v>
      </c>
    </row>
    <row r="12">
      <c r="A12" s="88">
        <v>45752.83479263889</v>
      </c>
      <c r="B12" s="44" t="s">
        <v>73</v>
      </c>
      <c r="C12" s="44" t="s">
        <v>80</v>
      </c>
      <c r="D12" s="44" t="s">
        <v>168</v>
      </c>
      <c r="E12" s="44" t="s">
        <v>169</v>
      </c>
      <c r="F12" s="58">
        <v>131.0</v>
      </c>
    </row>
    <row r="13">
      <c r="A13" s="88">
        <v>45752.835069374996</v>
      </c>
      <c r="B13" s="44" t="s">
        <v>73</v>
      </c>
      <c r="C13" s="44" t="s">
        <v>80</v>
      </c>
      <c r="D13" s="44" t="s">
        <v>168</v>
      </c>
      <c r="E13" s="44" t="s">
        <v>169</v>
      </c>
      <c r="F13" s="58">
        <v>131.0</v>
      </c>
    </row>
    <row r="14">
      <c r="A14" s="88">
        <v>45752.844852615744</v>
      </c>
      <c r="B14" s="44" t="s">
        <v>174</v>
      </c>
      <c r="C14" s="44" t="s">
        <v>175</v>
      </c>
      <c r="D14" s="44" t="s">
        <v>176</v>
      </c>
      <c r="E14" s="44" t="s">
        <v>169</v>
      </c>
      <c r="F14" s="58">
        <v>135.0</v>
      </c>
    </row>
    <row r="15">
      <c r="A15" s="88">
        <v>45752.84489733796</v>
      </c>
      <c r="B15" s="44" t="s">
        <v>174</v>
      </c>
      <c r="C15" s="44" t="s">
        <v>175</v>
      </c>
      <c r="D15" s="44" t="s">
        <v>176</v>
      </c>
      <c r="E15" s="44" t="s">
        <v>169</v>
      </c>
      <c r="F15" s="58">
        <v>135.0</v>
      </c>
    </row>
    <row r="16">
      <c r="A16" s="88">
        <v>45752.84501077546</v>
      </c>
      <c r="B16" s="44" t="s">
        <v>174</v>
      </c>
      <c r="C16" s="44" t="s">
        <v>175</v>
      </c>
      <c r="D16" s="44" t="s">
        <v>176</v>
      </c>
      <c r="E16" s="44" t="s">
        <v>169</v>
      </c>
      <c r="F16" s="58">
        <v>135.0</v>
      </c>
    </row>
    <row r="17">
      <c r="A17" s="88">
        <v>45752.84506125</v>
      </c>
      <c r="B17" s="44" t="s">
        <v>174</v>
      </c>
      <c r="C17" s="44" t="s">
        <v>175</v>
      </c>
      <c r="D17" s="44" t="s">
        <v>176</v>
      </c>
      <c r="E17" s="44" t="s">
        <v>169</v>
      </c>
      <c r="F17" s="58">
        <v>135.0</v>
      </c>
    </row>
    <row r="18">
      <c r="A18" s="88">
        <v>45752.86218923611</v>
      </c>
      <c r="B18" s="44" t="s">
        <v>174</v>
      </c>
      <c r="C18" s="44" t="s">
        <v>175</v>
      </c>
      <c r="D18" s="44" t="s">
        <v>176</v>
      </c>
      <c r="E18" s="44" t="s">
        <v>169</v>
      </c>
      <c r="F18" s="58">
        <v>135.0</v>
      </c>
    </row>
    <row r="19">
      <c r="A19" s="88">
        <v>45752.86222391204</v>
      </c>
      <c r="B19" s="44" t="s">
        <v>174</v>
      </c>
      <c r="C19" s="44" t="s">
        <v>175</v>
      </c>
      <c r="D19" s="44" t="s">
        <v>176</v>
      </c>
      <c r="E19" s="44" t="s">
        <v>169</v>
      </c>
      <c r="F19" s="58">
        <v>135.0</v>
      </c>
    </row>
    <row r="20">
      <c r="A20" s="88">
        <v>45752.86225554398</v>
      </c>
      <c r="B20" s="44" t="s">
        <v>174</v>
      </c>
      <c r="C20" s="44" t="s">
        <v>175</v>
      </c>
      <c r="D20" s="44" t="s">
        <v>176</v>
      </c>
      <c r="E20" s="44" t="s">
        <v>169</v>
      </c>
      <c r="F20" s="58">
        <v>135.0</v>
      </c>
    </row>
    <row r="21">
      <c r="A21" s="88">
        <v>45752.862295555555</v>
      </c>
      <c r="B21" s="44" t="s">
        <v>174</v>
      </c>
      <c r="C21" s="44" t="s">
        <v>175</v>
      </c>
      <c r="D21" s="44" t="s">
        <v>176</v>
      </c>
      <c r="E21" s="44" t="s">
        <v>173</v>
      </c>
      <c r="F21" s="58">
        <v>357.0</v>
      </c>
    </row>
    <row r="22">
      <c r="A22" s="88">
        <v>45752.862296238425</v>
      </c>
      <c r="B22" s="44" t="s">
        <v>174</v>
      </c>
      <c r="C22" s="44" t="s">
        <v>175</v>
      </c>
      <c r="D22" s="44" t="s">
        <v>176</v>
      </c>
      <c r="E22" s="44" t="s">
        <v>169</v>
      </c>
      <c r="F22" s="58">
        <v>135.0</v>
      </c>
    </row>
    <row r="23">
      <c r="A23" s="88">
        <v>45752.86256168981</v>
      </c>
      <c r="B23" s="44" t="s">
        <v>174</v>
      </c>
      <c r="C23" s="44" t="s">
        <v>175</v>
      </c>
      <c r="D23" s="44" t="s">
        <v>176</v>
      </c>
      <c r="E23" s="44" t="s">
        <v>169</v>
      </c>
      <c r="F23" s="58">
        <v>135.0</v>
      </c>
    </row>
    <row r="24">
      <c r="A24" s="88">
        <v>45752.86260197917</v>
      </c>
      <c r="B24" s="44" t="s">
        <v>174</v>
      </c>
      <c r="C24" s="44" t="s">
        <v>175</v>
      </c>
      <c r="D24" s="44" t="s">
        <v>176</v>
      </c>
      <c r="E24" s="44" t="s">
        <v>169</v>
      </c>
      <c r="F24" s="58">
        <v>135.0</v>
      </c>
    </row>
    <row r="25">
      <c r="A25" s="88">
        <v>45752.86263715278</v>
      </c>
      <c r="B25" s="44" t="s">
        <v>174</v>
      </c>
      <c r="C25" s="44" t="s">
        <v>175</v>
      </c>
      <c r="D25" s="44" t="s">
        <v>176</v>
      </c>
      <c r="E25" s="44" t="s">
        <v>169</v>
      </c>
      <c r="F25" s="58">
        <v>135.0</v>
      </c>
    </row>
    <row r="26">
      <c r="A26" s="88">
        <v>45752.862666851855</v>
      </c>
      <c r="B26" s="44" t="s">
        <v>174</v>
      </c>
      <c r="C26" s="44" t="s">
        <v>175</v>
      </c>
      <c r="D26" s="44" t="s">
        <v>176</v>
      </c>
      <c r="E26" s="44" t="s">
        <v>169</v>
      </c>
      <c r="F26" s="58">
        <v>135.0</v>
      </c>
    </row>
    <row r="27">
      <c r="A27" s="88">
        <v>45752.86269894676</v>
      </c>
      <c r="B27" s="44" t="s">
        <v>174</v>
      </c>
      <c r="C27" s="44" t="s">
        <v>175</v>
      </c>
      <c r="D27" s="44" t="s">
        <v>176</v>
      </c>
      <c r="E27" s="44" t="s">
        <v>169</v>
      </c>
      <c r="F27" s="58">
        <v>135.0</v>
      </c>
    </row>
    <row r="28">
      <c r="A28" s="88">
        <v>45752.86273165509</v>
      </c>
      <c r="B28" s="44" t="s">
        <v>174</v>
      </c>
      <c r="C28" s="44" t="s">
        <v>175</v>
      </c>
      <c r="D28" s="44" t="s">
        <v>176</v>
      </c>
      <c r="E28" s="44" t="s">
        <v>169</v>
      </c>
      <c r="F28" s="58">
        <v>135.0</v>
      </c>
    </row>
    <row r="29">
      <c r="A29" s="88">
        <v>45752.86274109954</v>
      </c>
      <c r="B29" s="44" t="s">
        <v>174</v>
      </c>
      <c r="C29" s="44" t="s">
        <v>175</v>
      </c>
      <c r="D29" s="44" t="s">
        <v>176</v>
      </c>
      <c r="E29" s="44" t="s">
        <v>169</v>
      </c>
      <c r="F29" s="58">
        <v>135.0</v>
      </c>
    </row>
    <row r="30">
      <c r="A30" s="88">
        <v>45752.86276268518</v>
      </c>
      <c r="B30" s="44" t="s">
        <v>174</v>
      </c>
      <c r="C30" s="44" t="s">
        <v>175</v>
      </c>
      <c r="D30" s="44" t="s">
        <v>176</v>
      </c>
      <c r="E30" s="44" t="s">
        <v>173</v>
      </c>
      <c r="F30" s="58">
        <v>357.0</v>
      </c>
    </row>
    <row r="31">
      <c r="A31" s="88">
        <v>45778.91038771991</v>
      </c>
      <c r="B31" s="44" t="s">
        <v>174</v>
      </c>
      <c r="C31" s="44" t="s">
        <v>175</v>
      </c>
      <c r="D31" s="44" t="s">
        <v>176</v>
      </c>
      <c r="E31" s="44" t="s">
        <v>169</v>
      </c>
      <c r="F31" s="58">
        <v>135.0</v>
      </c>
    </row>
    <row r="32">
      <c r="A32" s="88">
        <v>45822.60022017361</v>
      </c>
      <c r="B32" s="44" t="s">
        <v>167</v>
      </c>
      <c r="C32" s="44" t="s">
        <v>80</v>
      </c>
      <c r="D32" s="44" t="s">
        <v>168</v>
      </c>
      <c r="E32" s="44" t="s">
        <v>169</v>
      </c>
      <c r="F32" s="58">
        <v>150.0</v>
      </c>
    </row>
    <row r="33">
      <c r="A33" s="88">
        <v>45822.64374673611</v>
      </c>
      <c r="B33" s="44" t="s">
        <v>174</v>
      </c>
      <c r="C33" s="44" t="s">
        <v>175</v>
      </c>
      <c r="D33" s="44" t="s">
        <v>176</v>
      </c>
      <c r="E33" s="44" t="s">
        <v>169</v>
      </c>
      <c r="F33" s="58">
        <v>135.0</v>
      </c>
    </row>
    <row r="34">
      <c r="A34" s="88">
        <v>45822.64522697916</v>
      </c>
      <c r="B34" s="44" t="s">
        <v>73</v>
      </c>
      <c r="C34" s="44" t="s">
        <v>80</v>
      </c>
      <c r="D34" s="44" t="s">
        <v>168</v>
      </c>
      <c r="E34" s="44" t="s">
        <v>173</v>
      </c>
      <c r="F34" s="58">
        <v>367.0</v>
      </c>
    </row>
    <row r="35">
      <c r="A35" s="88">
        <v>45822.64609761574</v>
      </c>
      <c r="B35" s="44" t="s">
        <v>73</v>
      </c>
      <c r="C35" s="44" t="s">
        <v>80</v>
      </c>
      <c r="D35" s="44" t="s">
        <v>168</v>
      </c>
      <c r="E35" s="44" t="s">
        <v>169</v>
      </c>
      <c r="F35" s="58">
        <v>131.0</v>
      </c>
    </row>
    <row r="36">
      <c r="A36" s="88">
        <v>45822.64627082176</v>
      </c>
      <c r="B36" s="44" t="s">
        <v>73</v>
      </c>
      <c r="C36" s="44" t="s">
        <v>80</v>
      </c>
      <c r="D36" s="44" t="s">
        <v>168</v>
      </c>
      <c r="E36" s="44" t="s">
        <v>169</v>
      </c>
      <c r="F36" s="58">
        <v>131.0</v>
      </c>
    </row>
    <row r="37">
      <c r="A37" s="88">
        <v>45822.64849008102</v>
      </c>
      <c r="B37" s="44" t="s">
        <v>174</v>
      </c>
      <c r="C37" s="44" t="s">
        <v>175</v>
      </c>
      <c r="D37" s="44" t="s">
        <v>176</v>
      </c>
      <c r="E37" s="44" t="s">
        <v>169</v>
      </c>
      <c r="F37" s="58">
        <v>135.0</v>
      </c>
    </row>
    <row r="38">
      <c r="A38" s="88">
        <v>45822.648716875</v>
      </c>
      <c r="B38" s="44" t="s">
        <v>174</v>
      </c>
      <c r="C38" s="44" t="s">
        <v>175</v>
      </c>
      <c r="D38" s="44" t="s">
        <v>176</v>
      </c>
      <c r="E38" s="44" t="s">
        <v>169</v>
      </c>
      <c r="F38" s="58">
        <v>135.0</v>
      </c>
    </row>
    <row r="39">
      <c r="A39" s="88">
        <v>45822.64877541667</v>
      </c>
      <c r="B39" s="44" t="s">
        <v>73</v>
      </c>
      <c r="C39" s="44" t="s">
        <v>80</v>
      </c>
      <c r="D39" s="44" t="s">
        <v>168</v>
      </c>
      <c r="E39" s="44" t="s">
        <v>169</v>
      </c>
      <c r="F39" s="58">
        <v>131.0</v>
      </c>
    </row>
    <row r="40">
      <c r="A40" s="88">
        <v>45822.6493255324</v>
      </c>
      <c r="B40" s="44" t="s">
        <v>174</v>
      </c>
      <c r="C40" s="44" t="s">
        <v>175</v>
      </c>
      <c r="D40" s="44" t="s">
        <v>176</v>
      </c>
      <c r="E40" s="44" t="s">
        <v>169</v>
      </c>
      <c r="F40" s="58">
        <v>135.0</v>
      </c>
    </row>
    <row r="41">
      <c r="A41" s="88">
        <v>45822.64934253472</v>
      </c>
      <c r="B41" s="44" t="s">
        <v>174</v>
      </c>
      <c r="C41" s="44" t="s">
        <v>175</v>
      </c>
      <c r="D41" s="44" t="s">
        <v>176</v>
      </c>
      <c r="E41" s="44" t="s">
        <v>169</v>
      </c>
      <c r="F41" s="58">
        <v>135.0</v>
      </c>
    </row>
    <row r="42">
      <c r="A42" s="88">
        <v>45822.649368611106</v>
      </c>
      <c r="B42" s="44" t="s">
        <v>174</v>
      </c>
      <c r="C42" s="44" t="s">
        <v>175</v>
      </c>
      <c r="D42" s="44" t="s">
        <v>176</v>
      </c>
      <c r="E42" s="44" t="s">
        <v>169</v>
      </c>
      <c r="F42" s="58">
        <v>135.0</v>
      </c>
    </row>
    <row r="43">
      <c r="A43" s="88">
        <v>45822.649384247685</v>
      </c>
      <c r="B43" s="44" t="s">
        <v>174</v>
      </c>
      <c r="C43" s="44" t="s">
        <v>175</v>
      </c>
      <c r="D43" s="44" t="s">
        <v>176</v>
      </c>
      <c r="E43" s="44" t="s">
        <v>169</v>
      </c>
      <c r="F43" s="58">
        <v>135.0</v>
      </c>
    </row>
    <row r="44">
      <c r="A44" s="88">
        <v>45822.64940548611</v>
      </c>
      <c r="B44" s="44" t="s">
        <v>174</v>
      </c>
      <c r="C44" s="44" t="s">
        <v>175</v>
      </c>
      <c r="D44" s="44" t="s">
        <v>176</v>
      </c>
      <c r="E44" s="44" t="s">
        <v>169</v>
      </c>
      <c r="F44" s="58">
        <v>135.0</v>
      </c>
    </row>
    <row r="45">
      <c r="A45" s="88">
        <v>45822.649419884256</v>
      </c>
      <c r="B45" s="44" t="s">
        <v>174</v>
      </c>
      <c r="C45" s="44" t="s">
        <v>175</v>
      </c>
      <c r="D45" s="44" t="s">
        <v>176</v>
      </c>
      <c r="E45" s="44" t="s">
        <v>169</v>
      </c>
      <c r="F45" s="58">
        <v>135.0</v>
      </c>
    </row>
    <row r="46">
      <c r="A46" s="88">
        <v>45822.64944680556</v>
      </c>
      <c r="B46" s="44" t="s">
        <v>174</v>
      </c>
      <c r="C46" s="44" t="s">
        <v>175</v>
      </c>
      <c r="D46" s="44" t="s">
        <v>176</v>
      </c>
      <c r="E46" s="44" t="s">
        <v>169</v>
      </c>
      <c r="F46" s="58">
        <v>135.0</v>
      </c>
    </row>
    <row r="47">
      <c r="A47" s="88">
        <v>45822.64945866898</v>
      </c>
      <c r="B47" s="44" t="s">
        <v>167</v>
      </c>
      <c r="C47" s="44" t="s">
        <v>80</v>
      </c>
      <c r="D47" s="44" t="s">
        <v>168</v>
      </c>
      <c r="E47" s="44" t="s">
        <v>173</v>
      </c>
      <c r="F47" s="58">
        <v>175.0</v>
      </c>
    </row>
    <row r="48">
      <c r="A48" s="88">
        <v>45822.64947266204</v>
      </c>
      <c r="B48" s="44" t="s">
        <v>174</v>
      </c>
      <c r="C48" s="44" t="s">
        <v>175</v>
      </c>
      <c r="D48" s="44" t="s">
        <v>176</v>
      </c>
      <c r="E48" s="44" t="s">
        <v>169</v>
      </c>
      <c r="F48" s="58">
        <v>135.0</v>
      </c>
    </row>
    <row r="49">
      <c r="A49" s="88">
        <v>45822.64948989583</v>
      </c>
      <c r="B49" s="44" t="s">
        <v>73</v>
      </c>
      <c r="C49" s="44" t="s">
        <v>80</v>
      </c>
      <c r="D49" s="44" t="s">
        <v>168</v>
      </c>
      <c r="E49" s="44" t="s">
        <v>169</v>
      </c>
      <c r="F49" s="58">
        <v>131.0</v>
      </c>
    </row>
    <row r="50">
      <c r="A50" s="88">
        <v>45822.64951011574</v>
      </c>
      <c r="B50" s="44" t="s">
        <v>174</v>
      </c>
      <c r="C50" s="44" t="s">
        <v>175</v>
      </c>
      <c r="D50" s="44" t="s">
        <v>176</v>
      </c>
      <c r="E50" s="44" t="s">
        <v>169</v>
      </c>
      <c r="F50" s="58">
        <v>135.0</v>
      </c>
    </row>
    <row r="51">
      <c r="A51" s="88">
        <v>45822.64952232639</v>
      </c>
      <c r="B51" s="44" t="s">
        <v>174</v>
      </c>
      <c r="C51" s="44" t="s">
        <v>175</v>
      </c>
      <c r="D51" s="44" t="s">
        <v>176</v>
      </c>
      <c r="E51" s="44" t="s">
        <v>169</v>
      </c>
      <c r="F51" s="58">
        <v>135.0</v>
      </c>
    </row>
    <row r="52">
      <c r="A52" s="88">
        <v>45822.649539872684</v>
      </c>
      <c r="B52" s="44" t="s">
        <v>174</v>
      </c>
      <c r="C52" s="44" t="s">
        <v>175</v>
      </c>
      <c r="D52" s="44" t="s">
        <v>176</v>
      </c>
      <c r="E52" s="44" t="s">
        <v>169</v>
      </c>
      <c r="F52" s="58">
        <v>135.0</v>
      </c>
    </row>
    <row r="53">
      <c r="A53" s="88">
        <v>45822.64955916667</v>
      </c>
      <c r="B53" s="44" t="s">
        <v>174</v>
      </c>
      <c r="C53" s="44" t="s">
        <v>175</v>
      </c>
      <c r="D53" s="44" t="s">
        <v>176</v>
      </c>
      <c r="E53" s="44" t="s">
        <v>169</v>
      </c>
      <c r="F53" s="58">
        <v>135.0</v>
      </c>
    </row>
    <row r="54">
      <c r="A54" s="88">
        <v>45822.64957440972</v>
      </c>
      <c r="B54" s="44" t="s">
        <v>174</v>
      </c>
      <c r="C54" s="44" t="s">
        <v>175</v>
      </c>
      <c r="D54" s="44" t="s">
        <v>176</v>
      </c>
      <c r="E54" s="44" t="s">
        <v>169</v>
      </c>
      <c r="F54" s="58">
        <v>135.0</v>
      </c>
    </row>
    <row r="55">
      <c r="A55" s="88">
        <v>45822.649598703705</v>
      </c>
      <c r="B55" s="44" t="s">
        <v>174</v>
      </c>
      <c r="C55" s="44" t="s">
        <v>175</v>
      </c>
      <c r="D55" s="44" t="s">
        <v>176</v>
      </c>
      <c r="E55" s="44" t="s">
        <v>169</v>
      </c>
      <c r="F55" s="58">
        <v>135.0</v>
      </c>
    </row>
    <row r="56">
      <c r="A56" s="88">
        <v>45822.64960996528</v>
      </c>
      <c r="B56" s="44" t="s">
        <v>174</v>
      </c>
      <c r="C56" s="44" t="s">
        <v>175</v>
      </c>
      <c r="D56" s="44" t="s">
        <v>176</v>
      </c>
      <c r="E56" s="44" t="s">
        <v>169</v>
      </c>
      <c r="F56" s="58">
        <v>135.0</v>
      </c>
    </row>
    <row r="57">
      <c r="A57" s="88">
        <v>45822.64966063657</v>
      </c>
      <c r="B57" s="44" t="s">
        <v>73</v>
      </c>
      <c r="C57" s="44" t="s">
        <v>80</v>
      </c>
      <c r="D57" s="44" t="s">
        <v>168</v>
      </c>
      <c r="E57" s="44" t="s">
        <v>169</v>
      </c>
      <c r="F57" s="58">
        <v>131.0</v>
      </c>
    </row>
    <row r="58">
      <c r="A58" s="88">
        <v>45822.64966461806</v>
      </c>
      <c r="B58" s="44" t="s">
        <v>174</v>
      </c>
      <c r="C58" s="44" t="s">
        <v>175</v>
      </c>
      <c r="D58" s="44" t="s">
        <v>176</v>
      </c>
      <c r="E58" s="44" t="s">
        <v>169</v>
      </c>
      <c r="F58" s="58">
        <v>135.0</v>
      </c>
    </row>
    <row r="59">
      <c r="A59" s="88">
        <v>45822.64970488426</v>
      </c>
      <c r="B59" s="44" t="s">
        <v>174</v>
      </c>
      <c r="C59" s="44" t="s">
        <v>175</v>
      </c>
      <c r="D59" s="44" t="s">
        <v>176</v>
      </c>
      <c r="E59" s="44" t="s">
        <v>173</v>
      </c>
      <c r="F59" s="58">
        <v>357.0</v>
      </c>
    </row>
    <row r="60">
      <c r="A60" s="88">
        <v>45822.64985100694</v>
      </c>
      <c r="B60" s="44" t="s">
        <v>73</v>
      </c>
      <c r="C60" s="44" t="s">
        <v>80</v>
      </c>
      <c r="D60" s="44" t="s">
        <v>168</v>
      </c>
      <c r="E60" s="44" t="s">
        <v>169</v>
      </c>
      <c r="F60" s="58">
        <v>131.0</v>
      </c>
    </row>
    <row r="61">
      <c r="A61" s="88">
        <v>45822.649951064814</v>
      </c>
      <c r="B61" s="44" t="s">
        <v>174</v>
      </c>
      <c r="C61" s="44" t="s">
        <v>175</v>
      </c>
      <c r="D61" s="44" t="s">
        <v>176</v>
      </c>
      <c r="E61" s="44" t="s">
        <v>169</v>
      </c>
      <c r="F61" s="58">
        <v>135.0</v>
      </c>
    </row>
    <row r="62">
      <c r="A62" s="88">
        <v>45822.64996894676</v>
      </c>
      <c r="B62" s="44" t="s">
        <v>73</v>
      </c>
      <c r="C62" s="44" t="s">
        <v>80</v>
      </c>
      <c r="D62" s="44" t="s">
        <v>168</v>
      </c>
      <c r="E62" s="44" t="s">
        <v>169</v>
      </c>
      <c r="F62" s="58">
        <v>131.0</v>
      </c>
    </row>
    <row r="63">
      <c r="A63" s="88">
        <v>45822.649988923615</v>
      </c>
      <c r="B63" s="44" t="s">
        <v>174</v>
      </c>
      <c r="C63" s="44" t="s">
        <v>175</v>
      </c>
      <c r="D63" s="44" t="s">
        <v>176</v>
      </c>
      <c r="E63" s="44" t="s">
        <v>169</v>
      </c>
      <c r="F63" s="58">
        <v>135.0</v>
      </c>
    </row>
    <row r="64">
      <c r="A64" s="88">
        <v>45822.650029745375</v>
      </c>
      <c r="B64" s="44" t="s">
        <v>174</v>
      </c>
      <c r="C64" s="44" t="s">
        <v>175</v>
      </c>
      <c r="D64" s="44" t="s">
        <v>176</v>
      </c>
      <c r="E64" s="44" t="s">
        <v>169</v>
      </c>
      <c r="F64" s="58">
        <v>135.0</v>
      </c>
    </row>
    <row r="65">
      <c r="A65" s="88">
        <v>45822.65007118056</v>
      </c>
      <c r="B65" s="44" t="s">
        <v>174</v>
      </c>
      <c r="C65" s="44" t="s">
        <v>175</v>
      </c>
      <c r="D65" s="44" t="s">
        <v>176</v>
      </c>
      <c r="E65" s="44" t="s">
        <v>169</v>
      </c>
      <c r="F65" s="58">
        <v>135.0</v>
      </c>
    </row>
    <row r="66">
      <c r="A66" s="88">
        <v>45822.65010472223</v>
      </c>
      <c r="B66" s="44" t="s">
        <v>174</v>
      </c>
      <c r="C66" s="44" t="s">
        <v>175</v>
      </c>
      <c r="D66" s="44" t="s">
        <v>176</v>
      </c>
      <c r="E66" s="44" t="s">
        <v>173</v>
      </c>
      <c r="F66" s="58">
        <v>357.0</v>
      </c>
    </row>
    <row r="67">
      <c r="A67" s="88">
        <v>45822.65040087963</v>
      </c>
      <c r="B67" s="44" t="s">
        <v>174</v>
      </c>
      <c r="C67" s="44" t="s">
        <v>175</v>
      </c>
      <c r="D67" s="44" t="s">
        <v>176</v>
      </c>
      <c r="E67" s="44" t="s">
        <v>169</v>
      </c>
      <c r="F67" s="58">
        <v>135.0</v>
      </c>
    </row>
    <row r="68">
      <c r="A68" s="88">
        <v>45822.651645509264</v>
      </c>
      <c r="B68" s="44" t="s">
        <v>73</v>
      </c>
      <c r="C68" s="44" t="s">
        <v>80</v>
      </c>
      <c r="D68" s="44" t="s">
        <v>168</v>
      </c>
      <c r="E68" s="44" t="s">
        <v>169</v>
      </c>
      <c r="F68" s="58">
        <v>131.0</v>
      </c>
    </row>
    <row r="69">
      <c r="A69" s="88">
        <v>45822.65174664352</v>
      </c>
      <c r="B69" s="44" t="s">
        <v>73</v>
      </c>
      <c r="C69" s="44" t="s">
        <v>80</v>
      </c>
      <c r="D69" s="44" t="s">
        <v>168</v>
      </c>
      <c r="E69" s="44" t="s">
        <v>169</v>
      </c>
      <c r="F69" s="58">
        <v>131.0</v>
      </c>
    </row>
    <row r="70">
      <c r="A70" s="88">
        <v>45822.65185173611</v>
      </c>
      <c r="B70" s="44" t="s">
        <v>73</v>
      </c>
      <c r="C70" s="44" t="s">
        <v>80</v>
      </c>
      <c r="D70" s="44" t="s">
        <v>168</v>
      </c>
      <c r="E70" s="44" t="s">
        <v>169</v>
      </c>
      <c r="F70" s="58">
        <v>131.0</v>
      </c>
    </row>
    <row r="71">
      <c r="A71" s="88">
        <v>45822.65201430555</v>
      </c>
      <c r="B71" s="44" t="s">
        <v>73</v>
      </c>
      <c r="C71" s="44" t="s">
        <v>80</v>
      </c>
      <c r="D71" s="44" t="s">
        <v>168</v>
      </c>
      <c r="E71" s="44" t="s">
        <v>169</v>
      </c>
      <c r="F71" s="58">
        <v>131.0</v>
      </c>
    </row>
    <row r="72">
      <c r="A72" s="88">
        <v>45822.65212708333</v>
      </c>
      <c r="B72" s="44" t="s">
        <v>73</v>
      </c>
      <c r="C72" s="44" t="s">
        <v>80</v>
      </c>
      <c r="D72" s="44" t="s">
        <v>168</v>
      </c>
      <c r="E72" s="44" t="s">
        <v>169</v>
      </c>
      <c r="F72" s="58">
        <v>131.0</v>
      </c>
    </row>
    <row r="73">
      <c r="A73" s="88">
        <v>45822.65219221065</v>
      </c>
      <c r="B73" s="44" t="s">
        <v>174</v>
      </c>
      <c r="C73" s="44" t="s">
        <v>175</v>
      </c>
      <c r="D73" s="44" t="s">
        <v>176</v>
      </c>
      <c r="E73" s="44" t="s">
        <v>169</v>
      </c>
      <c r="F73" s="58">
        <v>135.0</v>
      </c>
    </row>
    <row r="74">
      <c r="A74" s="88">
        <v>45822.65223380787</v>
      </c>
      <c r="B74" s="44" t="s">
        <v>73</v>
      </c>
      <c r="C74" s="44" t="s">
        <v>80</v>
      </c>
      <c r="D74" s="44" t="s">
        <v>168</v>
      </c>
      <c r="E74" s="44" t="s">
        <v>173</v>
      </c>
      <c r="F74" s="58">
        <v>367.0</v>
      </c>
    </row>
    <row r="75">
      <c r="A75" s="88">
        <v>45822.65240100694</v>
      </c>
      <c r="B75" s="44" t="s">
        <v>73</v>
      </c>
      <c r="C75" s="44" t="s">
        <v>80</v>
      </c>
      <c r="D75" s="44" t="s">
        <v>168</v>
      </c>
      <c r="E75" s="44" t="s">
        <v>169</v>
      </c>
      <c r="F75" s="58">
        <v>131.0</v>
      </c>
    </row>
    <row r="76">
      <c r="A76" s="88">
        <v>45822.65250887732</v>
      </c>
      <c r="B76" s="44" t="s">
        <v>73</v>
      </c>
      <c r="C76" s="44" t="s">
        <v>80</v>
      </c>
      <c r="D76" s="44" t="s">
        <v>168</v>
      </c>
      <c r="E76" s="44" t="s">
        <v>169</v>
      </c>
      <c r="F76" s="58">
        <v>131.0</v>
      </c>
    </row>
    <row r="77">
      <c r="A77" s="88">
        <v>45822.652586041666</v>
      </c>
      <c r="B77" s="44" t="s">
        <v>73</v>
      </c>
      <c r="C77" s="44" t="s">
        <v>80</v>
      </c>
      <c r="D77" s="44" t="s">
        <v>168</v>
      </c>
      <c r="E77" s="44" t="s">
        <v>169</v>
      </c>
      <c r="F77" s="58">
        <v>131.0</v>
      </c>
    </row>
    <row r="78">
      <c r="A78" s="88">
        <v>45822.652683645836</v>
      </c>
      <c r="B78" s="44" t="s">
        <v>73</v>
      </c>
      <c r="C78" s="44" t="s">
        <v>80</v>
      </c>
      <c r="D78" s="44" t="s">
        <v>168</v>
      </c>
      <c r="E78" s="44" t="s">
        <v>169</v>
      </c>
      <c r="F78" s="58">
        <v>131.0</v>
      </c>
    </row>
    <row r="79">
      <c r="A79" s="88">
        <v>45822.65276574074</v>
      </c>
      <c r="B79" s="44" t="s">
        <v>73</v>
      </c>
      <c r="C79" s="44" t="s">
        <v>80</v>
      </c>
      <c r="D79" s="44" t="s">
        <v>168</v>
      </c>
      <c r="E79" s="44" t="s">
        <v>169</v>
      </c>
      <c r="F79" s="58">
        <v>131.0</v>
      </c>
    </row>
    <row r="80">
      <c r="A80" s="88">
        <v>45822.652766921296</v>
      </c>
      <c r="B80" s="44" t="s">
        <v>167</v>
      </c>
      <c r="C80" s="44" t="s">
        <v>80</v>
      </c>
      <c r="D80" s="44" t="s">
        <v>168</v>
      </c>
      <c r="E80" s="44" t="s">
        <v>169</v>
      </c>
      <c r="F80" s="58">
        <v>62.0</v>
      </c>
    </row>
    <row r="81">
      <c r="A81" s="88">
        <v>45822.65284488426</v>
      </c>
      <c r="B81" s="44" t="s">
        <v>73</v>
      </c>
      <c r="C81" s="44" t="s">
        <v>80</v>
      </c>
      <c r="D81" s="44" t="s">
        <v>168</v>
      </c>
      <c r="E81" s="44" t="s">
        <v>169</v>
      </c>
      <c r="F81" s="58">
        <v>131.0</v>
      </c>
    </row>
    <row r="82">
      <c r="A82" s="88">
        <v>45822.652928958334</v>
      </c>
      <c r="B82" s="44" t="s">
        <v>73</v>
      </c>
      <c r="C82" s="44" t="s">
        <v>80</v>
      </c>
      <c r="D82" s="44" t="s">
        <v>168</v>
      </c>
      <c r="E82" s="44" t="s">
        <v>173</v>
      </c>
      <c r="F82" s="58">
        <v>236.0</v>
      </c>
    </row>
    <row r="83">
      <c r="A83" s="88">
        <v>45822.65312123843</v>
      </c>
      <c r="B83" s="44" t="s">
        <v>167</v>
      </c>
      <c r="C83" s="44" t="s">
        <v>80</v>
      </c>
      <c r="D83" s="44" t="s">
        <v>168</v>
      </c>
      <c r="E83" s="44" t="s">
        <v>169</v>
      </c>
      <c r="F83" s="58">
        <v>62.0</v>
      </c>
    </row>
    <row r="84">
      <c r="A84" s="88">
        <v>45822.653209780095</v>
      </c>
      <c r="B84" s="44" t="s">
        <v>167</v>
      </c>
      <c r="C84" s="44" t="s">
        <v>80</v>
      </c>
      <c r="D84" s="44" t="s">
        <v>168</v>
      </c>
      <c r="E84" s="44" t="s">
        <v>169</v>
      </c>
      <c r="F84" s="58">
        <v>62.0</v>
      </c>
    </row>
    <row r="85">
      <c r="A85" s="88">
        <v>45822.65329079861</v>
      </c>
      <c r="B85" s="44" t="s">
        <v>167</v>
      </c>
      <c r="C85" s="44" t="s">
        <v>80</v>
      </c>
      <c r="D85" s="44" t="s">
        <v>168</v>
      </c>
      <c r="E85" s="44" t="s">
        <v>169</v>
      </c>
      <c r="F85" s="58">
        <v>62.0</v>
      </c>
    </row>
    <row r="86">
      <c r="A86" s="88">
        <v>45822.65336920139</v>
      </c>
      <c r="B86" s="44" t="s">
        <v>167</v>
      </c>
      <c r="C86" s="44" t="s">
        <v>80</v>
      </c>
      <c r="D86" s="44" t="s">
        <v>168</v>
      </c>
      <c r="E86" s="44" t="s">
        <v>169</v>
      </c>
      <c r="F86" s="58">
        <v>62.0</v>
      </c>
    </row>
    <row r="87">
      <c r="A87" s="88">
        <v>45822.65348262731</v>
      </c>
      <c r="B87" s="44" t="s">
        <v>167</v>
      </c>
      <c r="C87" s="44" t="s">
        <v>80</v>
      </c>
      <c r="D87" s="44" t="s">
        <v>168</v>
      </c>
      <c r="E87" s="44" t="s">
        <v>169</v>
      </c>
      <c r="F87" s="58">
        <v>62.0</v>
      </c>
    </row>
    <row r="88">
      <c r="A88" s="88">
        <v>45822.65356284722</v>
      </c>
      <c r="B88" s="44" t="s">
        <v>167</v>
      </c>
      <c r="C88" s="44" t="s">
        <v>80</v>
      </c>
      <c r="D88" s="44" t="s">
        <v>168</v>
      </c>
      <c r="E88" s="44" t="s">
        <v>169</v>
      </c>
      <c r="F88" s="58">
        <v>62.0</v>
      </c>
    </row>
    <row r="89">
      <c r="A89" s="88">
        <v>45822.65364606481</v>
      </c>
      <c r="B89" s="44" t="s">
        <v>167</v>
      </c>
      <c r="C89" s="44" t="s">
        <v>80</v>
      </c>
      <c r="D89" s="44" t="s">
        <v>168</v>
      </c>
      <c r="E89" s="44" t="s">
        <v>173</v>
      </c>
      <c r="F89" s="58">
        <v>112.0</v>
      </c>
    </row>
    <row r="90">
      <c r="A90" s="88">
        <v>45822.65369028936</v>
      </c>
      <c r="B90" s="44" t="s">
        <v>73</v>
      </c>
      <c r="C90" s="44" t="s">
        <v>80</v>
      </c>
      <c r="D90" s="44" t="s">
        <v>168</v>
      </c>
      <c r="E90" s="44" t="s">
        <v>173</v>
      </c>
      <c r="F90" s="58">
        <v>236.0</v>
      </c>
    </row>
    <row r="91">
      <c r="A91" s="88">
        <v>45822.65866361111</v>
      </c>
      <c r="B91" s="44" t="s">
        <v>174</v>
      </c>
      <c r="C91" s="44" t="s">
        <v>175</v>
      </c>
      <c r="D91" s="44" t="s">
        <v>176</v>
      </c>
      <c r="E91" s="44" t="s">
        <v>169</v>
      </c>
      <c r="F91" s="58">
        <v>135.0</v>
      </c>
    </row>
    <row r="92">
      <c r="A92" s="88">
        <v>45822.65867131944</v>
      </c>
      <c r="B92" s="44" t="s">
        <v>174</v>
      </c>
      <c r="C92" s="44" t="s">
        <v>175</v>
      </c>
      <c r="D92" s="44" t="s">
        <v>176</v>
      </c>
      <c r="E92" s="44" t="s">
        <v>169</v>
      </c>
      <c r="F92" s="58">
        <v>135.0</v>
      </c>
    </row>
    <row r="93">
      <c r="A93" s="88">
        <v>45822.65868399305</v>
      </c>
      <c r="B93" s="44" t="s">
        <v>174</v>
      </c>
      <c r="C93" s="44" t="s">
        <v>175</v>
      </c>
      <c r="D93" s="44" t="s">
        <v>176</v>
      </c>
      <c r="E93" s="44" t="s">
        <v>169</v>
      </c>
      <c r="F93" s="58">
        <v>135.0</v>
      </c>
    </row>
    <row r="94">
      <c r="A94" s="88">
        <v>45822.658751180556</v>
      </c>
      <c r="B94" s="44" t="s">
        <v>174</v>
      </c>
      <c r="C94" s="44" t="s">
        <v>175</v>
      </c>
      <c r="D94" s="44" t="s">
        <v>176</v>
      </c>
      <c r="E94" s="44" t="s">
        <v>169</v>
      </c>
      <c r="F94" s="58">
        <v>135.0</v>
      </c>
    </row>
    <row r="95">
      <c r="A95" s="88">
        <v>45822.65875880787</v>
      </c>
      <c r="B95" s="44" t="s">
        <v>174</v>
      </c>
      <c r="C95" s="44" t="s">
        <v>175</v>
      </c>
      <c r="D95" s="44" t="s">
        <v>176</v>
      </c>
      <c r="E95" s="44" t="s">
        <v>169</v>
      </c>
      <c r="F95" s="58">
        <v>135.0</v>
      </c>
    </row>
    <row r="96">
      <c r="A96" s="88">
        <v>45822.658795428244</v>
      </c>
      <c r="B96" s="44" t="s">
        <v>177</v>
      </c>
      <c r="C96" s="44" t="s">
        <v>175</v>
      </c>
      <c r="D96" s="44" t="s">
        <v>176</v>
      </c>
      <c r="E96" s="44" t="s">
        <v>169</v>
      </c>
      <c r="F96" s="58">
        <v>150.0</v>
      </c>
    </row>
    <row r="97">
      <c r="A97" s="88">
        <v>45822.658957499996</v>
      </c>
      <c r="B97" s="44" t="s">
        <v>174</v>
      </c>
      <c r="C97" s="44" t="s">
        <v>175</v>
      </c>
      <c r="D97" s="44" t="s">
        <v>176</v>
      </c>
      <c r="E97" s="44" t="s">
        <v>169</v>
      </c>
      <c r="F97" s="58">
        <v>135.0</v>
      </c>
    </row>
    <row r="98">
      <c r="A98" s="88">
        <v>45822.704370949075</v>
      </c>
      <c r="B98" s="44" t="s">
        <v>174</v>
      </c>
      <c r="C98" s="44" t="s">
        <v>175</v>
      </c>
      <c r="D98" s="44" t="s">
        <v>176</v>
      </c>
      <c r="E98" s="44" t="s">
        <v>169</v>
      </c>
      <c r="F98" s="58">
        <v>135.0</v>
      </c>
    </row>
    <row r="99">
      <c r="A99" s="88">
        <v>45822.714169652776</v>
      </c>
      <c r="B99" s="44" t="s">
        <v>174</v>
      </c>
      <c r="C99" s="44" t="s">
        <v>175</v>
      </c>
      <c r="D99" s="44" t="s">
        <v>176</v>
      </c>
      <c r="E99" s="44" t="s">
        <v>169</v>
      </c>
      <c r="F99" s="58">
        <v>135.0</v>
      </c>
    </row>
    <row r="100">
      <c r="A100" s="88">
        <v>45822.73934185185</v>
      </c>
      <c r="B100" s="44" t="s">
        <v>167</v>
      </c>
      <c r="C100" s="44" t="s">
        <v>80</v>
      </c>
      <c r="D100" s="44" t="s">
        <v>168</v>
      </c>
      <c r="E100" s="44" t="s">
        <v>169</v>
      </c>
      <c r="F100" s="58">
        <v>150.0</v>
      </c>
    </row>
    <row r="101">
      <c r="A101" s="88">
        <v>45822.74808255787</v>
      </c>
      <c r="B101" s="44" t="s">
        <v>167</v>
      </c>
      <c r="C101" s="44" t="s">
        <v>80</v>
      </c>
      <c r="D101" s="44" t="s">
        <v>168</v>
      </c>
      <c r="E101" s="44" t="s">
        <v>173</v>
      </c>
      <c r="F101" s="58">
        <v>247.0</v>
      </c>
    </row>
    <row r="102">
      <c r="A102" s="88">
        <v>45822.74910960648</v>
      </c>
      <c r="B102" s="44" t="s">
        <v>167</v>
      </c>
      <c r="C102" s="44" t="s">
        <v>80</v>
      </c>
      <c r="D102" s="44" t="s">
        <v>168</v>
      </c>
      <c r="E102" s="44" t="s">
        <v>169</v>
      </c>
      <c r="F102" s="58">
        <v>150.0</v>
      </c>
    </row>
    <row r="103">
      <c r="A103" s="88">
        <v>45843.668213240744</v>
      </c>
      <c r="B103" s="44" t="s">
        <v>73</v>
      </c>
      <c r="C103" s="44" t="s">
        <v>80</v>
      </c>
      <c r="D103" s="44" t="s">
        <v>168</v>
      </c>
      <c r="E103" s="44" t="s">
        <v>169</v>
      </c>
      <c r="F103" s="58">
        <v>131.0</v>
      </c>
    </row>
    <row r="104">
      <c r="A104" s="88">
        <v>45843.78218039352</v>
      </c>
      <c r="B104" s="44" t="s">
        <v>73</v>
      </c>
      <c r="C104" s="44" t="s">
        <v>80</v>
      </c>
      <c r="D104" s="44" t="s">
        <v>168</v>
      </c>
      <c r="E104" s="44" t="s">
        <v>169</v>
      </c>
      <c r="F104" s="58">
        <v>131.0</v>
      </c>
    </row>
    <row r="105">
      <c r="A105" s="88">
        <v>45843.78230520833</v>
      </c>
      <c r="B105" s="44" t="s">
        <v>73</v>
      </c>
      <c r="C105" s="44" t="s">
        <v>80</v>
      </c>
      <c r="D105" s="44" t="s">
        <v>168</v>
      </c>
      <c r="E105" s="44" t="s">
        <v>169</v>
      </c>
      <c r="F105" s="58">
        <v>131.0</v>
      </c>
    </row>
    <row r="106">
      <c r="A106" s="88">
        <v>45843.78258613426</v>
      </c>
      <c r="B106" s="44" t="s">
        <v>73</v>
      </c>
      <c r="C106" s="44" t="s">
        <v>80</v>
      </c>
      <c r="D106" s="44" t="s">
        <v>168</v>
      </c>
      <c r="E106" s="44" t="s">
        <v>169</v>
      </c>
      <c r="F106" s="58">
        <v>131.0</v>
      </c>
    </row>
    <row r="107">
      <c r="A107" s="88">
        <v>45843.782679537035</v>
      </c>
      <c r="B107" s="44" t="s">
        <v>73</v>
      </c>
      <c r="C107" s="44" t="s">
        <v>80</v>
      </c>
      <c r="D107" s="44" t="s">
        <v>168</v>
      </c>
      <c r="E107" s="44" t="s">
        <v>173</v>
      </c>
      <c r="F107" s="58">
        <v>236.0</v>
      </c>
    </row>
    <row r="108">
      <c r="A108" s="88">
        <v>46061.546930428245</v>
      </c>
      <c r="B108" s="44" t="s">
        <v>178</v>
      </c>
      <c r="C108" s="44" t="s">
        <v>73</v>
      </c>
      <c r="D108" s="44" t="s">
        <v>169</v>
      </c>
      <c r="E108" s="44" t="s">
        <v>80</v>
      </c>
      <c r="F108" s="44" t="s">
        <v>81</v>
      </c>
      <c r="G108" s="44">
        <v>1.0</v>
      </c>
      <c r="H108" s="44" t="s">
        <v>179</v>
      </c>
      <c r="I108" s="44" t="s">
        <v>173</v>
      </c>
      <c r="J108" s="58">
        <v>97.0</v>
      </c>
    </row>
    <row r="109">
      <c r="A109" s="88">
        <v>46061.54714498842</v>
      </c>
      <c r="B109" s="44" t="s">
        <v>178</v>
      </c>
      <c r="C109" s="44" t="s">
        <v>73</v>
      </c>
      <c r="D109" s="44" t="s">
        <v>173</v>
      </c>
      <c r="E109" s="44" t="s">
        <v>80</v>
      </c>
      <c r="F109" s="44" t="s">
        <v>81</v>
      </c>
      <c r="G109" s="44">
        <v>1.0</v>
      </c>
      <c r="H109" s="44" t="s">
        <v>180</v>
      </c>
      <c r="I109" s="44" t="s">
        <v>169</v>
      </c>
      <c r="J109" s="58">
        <v>130.0</v>
      </c>
    </row>
    <row r="110">
      <c r="A110" s="88">
        <v>46061.55016753472</v>
      </c>
      <c r="B110" s="44" t="s">
        <v>181</v>
      </c>
      <c r="C110" s="44" t="s">
        <v>182</v>
      </c>
      <c r="D110" s="44" t="s">
        <v>169</v>
      </c>
      <c r="E110" s="44" t="s">
        <v>80</v>
      </c>
      <c r="F110" s="44" t="s">
        <v>183</v>
      </c>
      <c r="G110" s="44">
        <v>10.0</v>
      </c>
      <c r="H110" s="44" t="s">
        <v>179</v>
      </c>
      <c r="I110" s="44" t="s">
        <v>169</v>
      </c>
      <c r="J110" s="58">
        <v>0.0</v>
      </c>
    </row>
    <row r="111">
      <c r="A111" s="88">
        <v>46061.55028109954</v>
      </c>
      <c r="B111" s="44" t="s">
        <v>181</v>
      </c>
      <c r="C111" s="44" t="s">
        <v>182</v>
      </c>
      <c r="D111" s="44" t="s">
        <v>169</v>
      </c>
      <c r="E111" s="44" t="s">
        <v>80</v>
      </c>
      <c r="F111" s="44" t="s">
        <v>183</v>
      </c>
      <c r="G111" s="44">
        <v>10.0</v>
      </c>
      <c r="H111" s="44" t="s">
        <v>179</v>
      </c>
      <c r="I111" s="44" t="s">
        <v>169</v>
      </c>
      <c r="J111" s="58">
        <v>0.0</v>
      </c>
    </row>
    <row r="112">
      <c r="A112" s="88">
        <v>46061.55099520834</v>
      </c>
      <c r="B112" s="44" t="s">
        <v>181</v>
      </c>
      <c r="C112" s="44" t="s">
        <v>182</v>
      </c>
      <c r="D112" s="44" t="s">
        <v>169</v>
      </c>
      <c r="E112" s="44" t="s">
        <v>80</v>
      </c>
      <c r="F112" s="44" t="s">
        <v>183</v>
      </c>
      <c r="G112" s="44">
        <v>10.0</v>
      </c>
      <c r="H112" s="44" t="s">
        <v>179</v>
      </c>
      <c r="I112" s="44" t="s">
        <v>169</v>
      </c>
      <c r="J112" s="58">
        <v>0.0</v>
      </c>
    </row>
    <row r="113">
      <c r="A113" s="88">
        <v>46061.555483414355</v>
      </c>
      <c r="B113" s="44" t="s">
        <v>184</v>
      </c>
      <c r="C113" s="44" t="s">
        <v>73</v>
      </c>
      <c r="D113" s="44" t="s">
        <v>169</v>
      </c>
      <c r="E113" s="44" t="s">
        <v>80</v>
      </c>
      <c r="F113" s="44" t="s">
        <v>81</v>
      </c>
      <c r="G113" s="44">
        <v>1.0</v>
      </c>
      <c r="H113" s="44" t="s">
        <v>179</v>
      </c>
      <c r="I113" s="44" t="s">
        <v>169</v>
      </c>
      <c r="J113" s="58">
        <v>0.0</v>
      </c>
    </row>
    <row r="114">
      <c r="A114" s="88">
        <v>46061.55573425926</v>
      </c>
      <c r="B114" s="44" t="s">
        <v>184</v>
      </c>
      <c r="C114" s="44" t="s">
        <v>73</v>
      </c>
      <c r="D114" s="44" t="s">
        <v>169</v>
      </c>
      <c r="E114" s="44" t="s">
        <v>80</v>
      </c>
      <c r="F114" s="44" t="s">
        <v>81</v>
      </c>
      <c r="G114" s="44">
        <v>1.0</v>
      </c>
      <c r="H114" s="44" t="s">
        <v>179</v>
      </c>
      <c r="I114" s="44" t="s">
        <v>169</v>
      </c>
      <c r="J114" s="58">
        <v>0.0</v>
      </c>
    </row>
    <row r="115">
      <c r="A115" s="88">
        <v>46061.55676266203</v>
      </c>
      <c r="B115" s="44" t="s">
        <v>184</v>
      </c>
      <c r="C115" s="44" t="s">
        <v>185</v>
      </c>
      <c r="D115" s="44" t="s">
        <v>169</v>
      </c>
      <c r="E115" s="44" t="s">
        <v>80</v>
      </c>
      <c r="F115" s="44" t="s">
        <v>81</v>
      </c>
      <c r="G115" s="44">
        <v>1.0</v>
      </c>
      <c r="H115" s="44" t="s">
        <v>179</v>
      </c>
      <c r="I115" s="44" t="s">
        <v>169</v>
      </c>
      <c r="J115" s="58">
        <v>56.0</v>
      </c>
    </row>
    <row r="116">
      <c r="A116" s="88">
        <v>46061.55780447916</v>
      </c>
      <c r="B116" s="44" t="s">
        <v>184</v>
      </c>
      <c r="C116" s="44" t="s">
        <v>185</v>
      </c>
      <c r="D116" s="44" t="s">
        <v>173</v>
      </c>
      <c r="E116" s="44" t="s">
        <v>80</v>
      </c>
      <c r="F116" s="44" t="s">
        <v>81</v>
      </c>
      <c r="G116" s="44">
        <v>1.0</v>
      </c>
      <c r="H116" s="44" t="s">
        <v>186</v>
      </c>
      <c r="I116" s="44" t="s">
        <v>173</v>
      </c>
      <c r="J116" s="58">
        <v>75.0</v>
      </c>
    </row>
    <row r="117">
      <c r="A117" s="88">
        <v>46061.55791567129</v>
      </c>
      <c r="B117" s="44" t="s">
        <v>184</v>
      </c>
      <c r="C117" s="44" t="s">
        <v>185</v>
      </c>
      <c r="D117" s="44" t="s">
        <v>173</v>
      </c>
      <c r="E117" s="44" t="s">
        <v>80</v>
      </c>
      <c r="F117" s="44" t="s">
        <v>81</v>
      </c>
      <c r="G117" s="44">
        <v>1.0</v>
      </c>
      <c r="H117" s="44" t="s">
        <v>187</v>
      </c>
      <c r="I117" s="44" t="s">
        <v>169</v>
      </c>
      <c r="J117" s="58">
        <v>0.0</v>
      </c>
    </row>
    <row r="118">
      <c r="A118" s="88">
        <v>46061.56425314815</v>
      </c>
      <c r="B118" s="44" t="s">
        <v>188</v>
      </c>
      <c r="C118" s="44" t="s">
        <v>73</v>
      </c>
      <c r="D118" s="44" t="s">
        <v>169</v>
      </c>
      <c r="E118" s="44" t="s">
        <v>80</v>
      </c>
      <c r="F118" s="44" t="s">
        <v>81</v>
      </c>
      <c r="G118" s="44">
        <v>1.0</v>
      </c>
      <c r="H118" s="44" t="s">
        <v>179</v>
      </c>
      <c r="I118" s="44" t="s">
        <v>169</v>
      </c>
      <c r="J118" s="58">
        <v>78.0</v>
      </c>
    </row>
    <row r="119">
      <c r="A119" s="88">
        <v>46061.572546192125</v>
      </c>
      <c r="B119" s="44" t="s">
        <v>188</v>
      </c>
      <c r="C119" s="44" t="s">
        <v>73</v>
      </c>
      <c r="D119" s="44" t="s">
        <v>169</v>
      </c>
      <c r="E119" s="44" t="s">
        <v>80</v>
      </c>
      <c r="F119" s="44" t="s">
        <v>81</v>
      </c>
      <c r="G119" s="44">
        <v>1.0</v>
      </c>
      <c r="H119" s="44" t="s">
        <v>179</v>
      </c>
      <c r="I119" s="44" t="s">
        <v>173</v>
      </c>
      <c r="J119" s="58">
        <v>78.0</v>
      </c>
    </row>
    <row r="120">
      <c r="A120" s="88">
        <v>46061.572624837965</v>
      </c>
      <c r="B120" s="44" t="s">
        <v>181</v>
      </c>
      <c r="C120" s="44" t="s">
        <v>182</v>
      </c>
      <c r="D120" s="44" t="s">
        <v>169</v>
      </c>
      <c r="E120" s="44" t="s">
        <v>80</v>
      </c>
      <c r="F120" s="44" t="s">
        <v>183</v>
      </c>
      <c r="G120" s="44">
        <v>10.0</v>
      </c>
      <c r="H120" s="44" t="s">
        <v>179</v>
      </c>
      <c r="I120" s="44" t="s">
        <v>169</v>
      </c>
      <c r="J120" s="58">
        <v>37.0</v>
      </c>
    </row>
    <row r="121">
      <c r="A121" s="88">
        <v>46061.58549763889</v>
      </c>
      <c r="B121" s="44" t="s">
        <v>181</v>
      </c>
      <c r="C121" s="44" t="s">
        <v>182</v>
      </c>
      <c r="D121" s="44" t="s">
        <v>169</v>
      </c>
      <c r="E121" s="44" t="s">
        <v>80</v>
      </c>
      <c r="F121" s="44" t="s">
        <v>183</v>
      </c>
      <c r="G121" s="44">
        <v>10.0</v>
      </c>
      <c r="H121" s="44" t="s">
        <v>179</v>
      </c>
      <c r="I121" s="44" t="s">
        <v>169</v>
      </c>
      <c r="J121" s="58">
        <v>37.0</v>
      </c>
    </row>
    <row r="122">
      <c r="A122" s="88">
        <v>46061.58712892361</v>
      </c>
      <c r="B122" s="44" t="s">
        <v>181</v>
      </c>
      <c r="C122" s="44" t="s">
        <v>182</v>
      </c>
      <c r="D122" s="44" t="s">
        <v>169</v>
      </c>
      <c r="E122" s="44" t="s">
        <v>80</v>
      </c>
      <c r="F122" s="44" t="s">
        <v>183</v>
      </c>
      <c r="G122" s="44">
        <v>10.0</v>
      </c>
      <c r="H122" s="44" t="s">
        <v>179</v>
      </c>
      <c r="I122" s="44" t="s">
        <v>173</v>
      </c>
      <c r="J122" s="58">
        <v>37.0</v>
      </c>
    </row>
    <row r="123">
      <c r="A123" s="88">
        <v>46061.59152990741</v>
      </c>
      <c r="B123" s="44" t="s">
        <v>189</v>
      </c>
      <c r="C123" s="44" t="s">
        <v>73</v>
      </c>
      <c r="D123" s="44" t="s">
        <v>169</v>
      </c>
      <c r="E123" s="44" t="s">
        <v>80</v>
      </c>
      <c r="F123" s="44" t="s">
        <v>81</v>
      </c>
      <c r="G123" s="44">
        <v>1.0</v>
      </c>
      <c r="H123" s="44" t="s">
        <v>179</v>
      </c>
      <c r="I123" s="44" t="s">
        <v>173</v>
      </c>
      <c r="J123" s="58">
        <v>26.0</v>
      </c>
    </row>
    <row r="124">
      <c r="A124" s="88">
        <v>46061.59290596065</v>
      </c>
      <c r="B124" s="44" t="s">
        <v>189</v>
      </c>
      <c r="C124" s="44" t="s">
        <v>142</v>
      </c>
      <c r="D124" s="44" t="s">
        <v>173</v>
      </c>
      <c r="E124" s="44" t="s">
        <v>80</v>
      </c>
      <c r="F124" s="44" t="s">
        <v>81</v>
      </c>
      <c r="G124" s="44">
        <v>1.0</v>
      </c>
      <c r="H124" s="44" t="s">
        <v>190</v>
      </c>
      <c r="I124" s="44" t="s">
        <v>169</v>
      </c>
      <c r="J124" s="58">
        <v>35.0</v>
      </c>
    </row>
    <row r="125">
      <c r="A125" s="88">
        <v>46061.59293846065</v>
      </c>
      <c r="B125" s="44" t="s">
        <v>189</v>
      </c>
      <c r="C125" s="44" t="s">
        <v>142</v>
      </c>
      <c r="D125" s="44" t="s">
        <v>173</v>
      </c>
      <c r="E125" s="44" t="s">
        <v>80</v>
      </c>
      <c r="F125" s="44" t="s">
        <v>81</v>
      </c>
      <c r="G125" s="44">
        <v>1.0</v>
      </c>
      <c r="H125" s="44" t="s">
        <v>190</v>
      </c>
      <c r="I125" s="44" t="s">
        <v>169</v>
      </c>
      <c r="J125" s="58">
        <v>35.0</v>
      </c>
    </row>
    <row r="126">
      <c r="A126" s="88">
        <v>46061.59302818287</v>
      </c>
      <c r="B126" s="44" t="s">
        <v>189</v>
      </c>
      <c r="C126" s="44" t="s">
        <v>142</v>
      </c>
      <c r="D126" s="44" t="s">
        <v>173</v>
      </c>
      <c r="E126" s="44" t="s">
        <v>80</v>
      </c>
      <c r="F126" s="44" t="s">
        <v>81</v>
      </c>
      <c r="G126" s="44">
        <v>1.0</v>
      </c>
      <c r="H126" s="44" t="s">
        <v>190</v>
      </c>
      <c r="I126" s="44" t="s">
        <v>169</v>
      </c>
      <c r="J126" s="58">
        <v>35.0</v>
      </c>
    </row>
    <row r="127">
      <c r="A127" s="88">
        <v>46061.593422881946</v>
      </c>
      <c r="B127" s="44" t="s">
        <v>181</v>
      </c>
      <c r="C127" s="44" t="s">
        <v>191</v>
      </c>
      <c r="D127" s="44" t="s">
        <v>173</v>
      </c>
      <c r="E127" s="44" t="s">
        <v>175</v>
      </c>
      <c r="F127" s="44" t="s">
        <v>183</v>
      </c>
      <c r="G127" s="44">
        <v>6.0</v>
      </c>
      <c r="H127" s="44" t="s">
        <v>192</v>
      </c>
      <c r="I127" s="44" t="s">
        <v>169</v>
      </c>
      <c r="J127" s="58">
        <v>190.0</v>
      </c>
    </row>
    <row r="128">
      <c r="A128" s="88">
        <v>46061.59349068287</v>
      </c>
      <c r="B128" s="44" t="s">
        <v>181</v>
      </c>
      <c r="C128" s="44" t="s">
        <v>191</v>
      </c>
      <c r="D128" s="44" t="s">
        <v>173</v>
      </c>
      <c r="E128" s="44" t="s">
        <v>175</v>
      </c>
      <c r="F128" s="44" t="s">
        <v>183</v>
      </c>
      <c r="G128" s="44">
        <v>6.0</v>
      </c>
      <c r="H128" s="44" t="s">
        <v>192</v>
      </c>
      <c r="I128" s="44" t="s">
        <v>169</v>
      </c>
      <c r="J128" s="58">
        <v>190.0</v>
      </c>
    </row>
    <row r="129">
      <c r="A129" s="88">
        <v>46061.593621712964</v>
      </c>
      <c r="B129" s="44" t="s">
        <v>181</v>
      </c>
      <c r="C129" s="44" t="s">
        <v>191</v>
      </c>
      <c r="D129" s="44" t="s">
        <v>173</v>
      </c>
      <c r="E129" s="44" t="s">
        <v>175</v>
      </c>
      <c r="F129" s="44" t="s">
        <v>183</v>
      </c>
      <c r="G129" s="44">
        <v>6.0</v>
      </c>
      <c r="H129" s="44" t="s">
        <v>192</v>
      </c>
      <c r="I129" s="44" t="s">
        <v>169</v>
      </c>
      <c r="J129" s="58">
        <v>190.0</v>
      </c>
    </row>
    <row r="130">
      <c r="A130" s="88">
        <v>46061.59369199074</v>
      </c>
      <c r="B130" s="44" t="s">
        <v>181</v>
      </c>
      <c r="C130" s="44" t="s">
        <v>191</v>
      </c>
      <c r="D130" s="44" t="s">
        <v>173</v>
      </c>
      <c r="E130" s="44" t="s">
        <v>175</v>
      </c>
      <c r="F130" s="44" t="s">
        <v>183</v>
      </c>
      <c r="G130" s="44">
        <v>6.0</v>
      </c>
      <c r="H130" s="44" t="s">
        <v>192</v>
      </c>
      <c r="I130" s="44" t="s">
        <v>169</v>
      </c>
      <c r="J130" s="58">
        <v>190.0</v>
      </c>
    </row>
    <row r="131">
      <c r="A131" s="88">
        <v>46061.59394252315</v>
      </c>
      <c r="B131" s="44" t="s">
        <v>178</v>
      </c>
      <c r="C131" s="44" t="s">
        <v>193</v>
      </c>
      <c r="D131" s="44" t="s">
        <v>169</v>
      </c>
      <c r="E131" s="44" t="s">
        <v>80</v>
      </c>
      <c r="F131" s="44" t="s">
        <v>183</v>
      </c>
      <c r="G131" s="44">
        <v>2.0</v>
      </c>
      <c r="H131" s="44" t="s">
        <v>179</v>
      </c>
      <c r="I131" s="44" t="s">
        <v>169</v>
      </c>
      <c r="J131" s="58">
        <v>97.0</v>
      </c>
    </row>
    <row r="132">
      <c r="A132" s="88">
        <v>46061.65254363426</v>
      </c>
      <c r="B132" s="44" t="s">
        <v>181</v>
      </c>
      <c r="C132" s="44" t="s">
        <v>191</v>
      </c>
      <c r="D132" s="44" t="s">
        <v>173</v>
      </c>
      <c r="E132" s="44" t="s">
        <v>175</v>
      </c>
      <c r="F132" s="44" t="s">
        <v>183</v>
      </c>
      <c r="G132" s="44">
        <v>6.0</v>
      </c>
      <c r="H132" s="44" t="s">
        <v>192</v>
      </c>
      <c r="I132" s="44" t="s">
        <v>169</v>
      </c>
      <c r="J132" s="58">
        <v>200.0</v>
      </c>
    </row>
    <row r="133">
      <c r="A133" s="88">
        <v>46061.661663136576</v>
      </c>
      <c r="B133" s="44" t="s">
        <v>189</v>
      </c>
      <c r="C133" s="44" t="s">
        <v>142</v>
      </c>
      <c r="D133" s="44" t="s">
        <v>173</v>
      </c>
      <c r="E133" s="44" t="s">
        <v>80</v>
      </c>
      <c r="F133" s="44" t="s">
        <v>81</v>
      </c>
      <c r="G133" s="44">
        <v>1.0</v>
      </c>
      <c r="H133" s="44" t="s">
        <v>190</v>
      </c>
      <c r="I133" s="44" t="s">
        <v>169</v>
      </c>
      <c r="J133" s="58">
        <v>145.0</v>
      </c>
    </row>
    <row r="134">
      <c r="A134" s="88">
        <v>46061.6618518287</v>
      </c>
      <c r="B134" s="44" t="s">
        <v>189</v>
      </c>
      <c r="C134" s="44" t="s">
        <v>142</v>
      </c>
      <c r="D134" s="44" t="s">
        <v>173</v>
      </c>
      <c r="E134" s="44" t="s">
        <v>80</v>
      </c>
      <c r="F134" s="44" t="s">
        <v>81</v>
      </c>
      <c r="G134" s="44">
        <v>1.0</v>
      </c>
      <c r="H134" s="44" t="s">
        <v>190</v>
      </c>
      <c r="I134" s="44" t="s">
        <v>169</v>
      </c>
      <c r="J134" s="58">
        <v>145.0</v>
      </c>
    </row>
    <row r="135">
      <c r="A135" s="88">
        <v>46061.661905243054</v>
      </c>
      <c r="B135" s="44" t="s">
        <v>189</v>
      </c>
      <c r="C135" s="44" t="s">
        <v>142</v>
      </c>
      <c r="D135" s="44" t="s">
        <v>173</v>
      </c>
      <c r="E135" s="44" t="s">
        <v>80</v>
      </c>
      <c r="F135" s="44" t="s">
        <v>81</v>
      </c>
      <c r="G135" s="44">
        <v>1.0</v>
      </c>
      <c r="H135" s="44" t="s">
        <v>190</v>
      </c>
      <c r="I135" s="44" t="s">
        <v>169</v>
      </c>
      <c r="J135" s="58">
        <v>145.0</v>
      </c>
    </row>
    <row r="136">
      <c r="A136" s="88">
        <v>46061.66199359954</v>
      </c>
      <c r="B136" s="44" t="s">
        <v>189</v>
      </c>
      <c r="C136" s="44" t="s">
        <v>142</v>
      </c>
      <c r="D136" s="44" t="s">
        <v>173</v>
      </c>
      <c r="E136" s="44" t="s">
        <v>80</v>
      </c>
      <c r="F136" s="44" t="s">
        <v>81</v>
      </c>
      <c r="G136" s="44">
        <v>1.0</v>
      </c>
      <c r="H136" s="44" t="s">
        <v>190</v>
      </c>
      <c r="I136" s="44" t="s">
        <v>169</v>
      </c>
      <c r="J136" s="58">
        <v>145.0</v>
      </c>
    </row>
    <row r="137">
      <c r="A137" s="88">
        <v>46061.66450820601</v>
      </c>
      <c r="B137" s="44" t="s">
        <v>178</v>
      </c>
      <c r="C137" s="44" t="s">
        <v>193</v>
      </c>
      <c r="D137" s="44" t="s">
        <v>173</v>
      </c>
      <c r="E137" s="44" t="s">
        <v>80</v>
      </c>
      <c r="F137" s="44" t="s">
        <v>183</v>
      </c>
      <c r="G137" s="44">
        <v>2.0</v>
      </c>
      <c r="H137" s="44" t="s">
        <v>194</v>
      </c>
      <c r="I137" s="44" t="s">
        <v>169</v>
      </c>
      <c r="J137" s="58">
        <v>140.0</v>
      </c>
    </row>
    <row r="138">
      <c r="A138" s="88">
        <v>46061.69207990741</v>
      </c>
      <c r="B138" s="44" t="s">
        <v>178</v>
      </c>
      <c r="C138" s="44" t="s">
        <v>193</v>
      </c>
      <c r="D138" s="44" t="s">
        <v>173</v>
      </c>
      <c r="E138" s="44" t="s">
        <v>80</v>
      </c>
      <c r="F138" s="44" t="s">
        <v>183</v>
      </c>
      <c r="G138" s="44">
        <v>2.0</v>
      </c>
      <c r="H138" s="44" t="s">
        <v>194</v>
      </c>
      <c r="I138" s="44" t="s">
        <v>169</v>
      </c>
      <c r="J138" s="58">
        <v>140.0</v>
      </c>
    </row>
    <row r="139">
      <c r="A139" s="88">
        <v>46061.69417346065</v>
      </c>
      <c r="B139" s="44" t="s">
        <v>189</v>
      </c>
      <c r="C139" s="44" t="s">
        <v>142</v>
      </c>
      <c r="D139" s="44" t="s">
        <v>173</v>
      </c>
      <c r="E139" s="44" t="s">
        <v>80</v>
      </c>
      <c r="F139" s="44" t="s">
        <v>81</v>
      </c>
      <c r="G139" s="44">
        <v>1.0</v>
      </c>
      <c r="H139" s="44" t="s">
        <v>190</v>
      </c>
      <c r="I139" s="44" t="s">
        <v>169</v>
      </c>
      <c r="J139" s="58">
        <v>145.0</v>
      </c>
    </row>
    <row r="140">
      <c r="A140" s="88">
        <v>46061.69423497685</v>
      </c>
      <c r="B140" s="44" t="s">
        <v>189</v>
      </c>
      <c r="C140" s="44" t="s">
        <v>142</v>
      </c>
      <c r="D140" s="44" t="s">
        <v>173</v>
      </c>
      <c r="E140" s="44" t="s">
        <v>80</v>
      </c>
      <c r="F140" s="44" t="s">
        <v>81</v>
      </c>
      <c r="G140" s="44">
        <v>1.0</v>
      </c>
      <c r="H140" s="44" t="s">
        <v>190</v>
      </c>
      <c r="I140" s="44" t="s">
        <v>169</v>
      </c>
      <c r="J140" s="58">
        <v>145.0</v>
      </c>
    </row>
    <row r="141">
      <c r="A141" s="88">
        <v>46061.694334432876</v>
      </c>
      <c r="B141" s="44" t="s">
        <v>189</v>
      </c>
      <c r="C141" s="44" t="s">
        <v>142</v>
      </c>
      <c r="D141" s="44" t="s">
        <v>173</v>
      </c>
      <c r="E141" s="44" t="s">
        <v>80</v>
      </c>
      <c r="F141" s="44" t="s">
        <v>81</v>
      </c>
      <c r="G141" s="44">
        <v>1.0</v>
      </c>
      <c r="H141" s="44" t="s">
        <v>190</v>
      </c>
      <c r="I141" s="44" t="s">
        <v>169</v>
      </c>
      <c r="J141" s="58">
        <v>145.0</v>
      </c>
    </row>
    <row r="142">
      <c r="A142" s="88">
        <v>46061.694381249996</v>
      </c>
      <c r="B142" s="44" t="s">
        <v>189</v>
      </c>
      <c r="C142" s="44" t="s">
        <v>142</v>
      </c>
      <c r="D142" s="44" t="s">
        <v>173</v>
      </c>
      <c r="E142" s="44" t="s">
        <v>80</v>
      </c>
      <c r="F142" s="44" t="s">
        <v>81</v>
      </c>
      <c r="G142" s="44">
        <v>1.0</v>
      </c>
      <c r="H142" s="44" t="s">
        <v>190</v>
      </c>
      <c r="I142" s="44" t="s">
        <v>169</v>
      </c>
      <c r="J142" s="58">
        <v>145.0</v>
      </c>
    </row>
    <row r="143">
      <c r="A143" s="88">
        <v>46061.694439479164</v>
      </c>
      <c r="B143" s="44" t="s">
        <v>189</v>
      </c>
      <c r="C143" s="44" t="s">
        <v>142</v>
      </c>
      <c r="D143" s="44" t="s">
        <v>173</v>
      </c>
      <c r="E143" s="44" t="s">
        <v>80</v>
      </c>
      <c r="F143" s="44" t="s">
        <v>81</v>
      </c>
      <c r="G143" s="44">
        <v>1.0</v>
      </c>
      <c r="H143" s="44" t="s">
        <v>190</v>
      </c>
      <c r="I143" s="44" t="s">
        <v>169</v>
      </c>
      <c r="J143" s="58">
        <v>145.0</v>
      </c>
    </row>
    <row r="144">
      <c r="A144" s="88">
        <v>46061.69455277778</v>
      </c>
      <c r="B144" s="44" t="s">
        <v>188</v>
      </c>
      <c r="C144" s="44" t="s">
        <v>73</v>
      </c>
      <c r="D144" s="44" t="s">
        <v>173</v>
      </c>
      <c r="E144" s="44" t="s">
        <v>80</v>
      </c>
      <c r="F144" s="44" t="s">
        <v>81</v>
      </c>
      <c r="G144" s="44">
        <v>1.0</v>
      </c>
      <c r="H144" s="44" t="s">
        <v>180</v>
      </c>
      <c r="I144" s="44" t="s">
        <v>169</v>
      </c>
      <c r="J144" s="58">
        <v>115.0</v>
      </c>
    </row>
    <row r="145">
      <c r="A145" s="88">
        <v>46061.701635474536</v>
      </c>
      <c r="B145" s="44" t="s">
        <v>189</v>
      </c>
      <c r="C145" s="44" t="s">
        <v>142</v>
      </c>
      <c r="D145" s="44" t="s">
        <v>173</v>
      </c>
      <c r="E145" s="44" t="s">
        <v>80</v>
      </c>
      <c r="F145" s="44" t="s">
        <v>81</v>
      </c>
      <c r="G145" s="44">
        <v>1.0</v>
      </c>
      <c r="H145" s="44" t="s">
        <v>190</v>
      </c>
      <c r="I145" s="44" t="s">
        <v>169</v>
      </c>
      <c r="J145" s="58">
        <v>145.0</v>
      </c>
    </row>
    <row r="146">
      <c r="A146" s="88">
        <v>46061.71689354167</v>
      </c>
      <c r="B146" s="44" t="s">
        <v>178</v>
      </c>
      <c r="C146" s="44" t="s">
        <v>193</v>
      </c>
      <c r="D146" s="44" t="s">
        <v>173</v>
      </c>
      <c r="E146" s="44" t="s">
        <v>80</v>
      </c>
      <c r="F146" s="44" t="s">
        <v>183</v>
      </c>
      <c r="G146" s="44">
        <v>2.0</v>
      </c>
      <c r="H146" s="44" t="s">
        <v>194</v>
      </c>
      <c r="I146" s="44" t="s">
        <v>173</v>
      </c>
      <c r="J146" s="58">
        <v>140.0</v>
      </c>
    </row>
    <row r="147">
      <c r="A147" s="88">
        <v>46061.71708178241</v>
      </c>
      <c r="B147" s="44" t="s">
        <v>178</v>
      </c>
      <c r="C147" s="44" t="s">
        <v>193</v>
      </c>
      <c r="D147" s="44" t="s">
        <v>173</v>
      </c>
      <c r="E147" s="44" t="s">
        <v>80</v>
      </c>
      <c r="F147" s="44" t="s">
        <v>183</v>
      </c>
      <c r="G147" s="44">
        <v>2.0</v>
      </c>
      <c r="H147" s="44" t="s">
        <v>194</v>
      </c>
      <c r="I147" s="44" t="s">
        <v>169</v>
      </c>
      <c r="J147" s="58">
        <v>140.0</v>
      </c>
    </row>
    <row r="148">
      <c r="A148" s="88">
        <v>46061.7172603125</v>
      </c>
      <c r="B148" s="44" t="s">
        <v>178</v>
      </c>
      <c r="C148" s="44" t="s">
        <v>193</v>
      </c>
      <c r="D148" s="44" t="s">
        <v>173</v>
      </c>
      <c r="E148" s="44" t="s">
        <v>80</v>
      </c>
      <c r="F148" s="44" t="s">
        <v>183</v>
      </c>
      <c r="G148" s="44">
        <v>2.0</v>
      </c>
      <c r="H148" s="44" t="s">
        <v>194</v>
      </c>
      <c r="I148" s="44" t="s">
        <v>169</v>
      </c>
      <c r="J148" s="58">
        <v>140.0</v>
      </c>
    </row>
    <row r="149">
      <c r="A149" s="88">
        <v>46061.71734149306</v>
      </c>
      <c r="B149" s="44" t="s">
        <v>178</v>
      </c>
      <c r="C149" s="44" t="s">
        <v>193</v>
      </c>
      <c r="D149" s="44" t="s">
        <v>173</v>
      </c>
      <c r="E149" s="44" t="s">
        <v>80</v>
      </c>
      <c r="F149" s="44" t="s">
        <v>183</v>
      </c>
      <c r="G149" s="44">
        <v>2.0</v>
      </c>
      <c r="H149" s="44" t="s">
        <v>194</v>
      </c>
      <c r="I149" s="44" t="s">
        <v>169</v>
      </c>
      <c r="J149" s="58">
        <v>140.0</v>
      </c>
    </row>
    <row r="150">
      <c r="A150" s="88">
        <v>46061.71737991898</v>
      </c>
      <c r="B150" s="44" t="s">
        <v>178</v>
      </c>
      <c r="C150" s="44" t="s">
        <v>193</v>
      </c>
      <c r="D150" s="44" t="s">
        <v>173</v>
      </c>
      <c r="E150" s="44" t="s">
        <v>80</v>
      </c>
      <c r="F150" s="44" t="s">
        <v>183</v>
      </c>
      <c r="G150" s="44">
        <v>2.0</v>
      </c>
      <c r="H150" s="44" t="s">
        <v>194</v>
      </c>
      <c r="I150" s="44" t="s">
        <v>169</v>
      </c>
      <c r="J150" s="58">
        <v>140.0</v>
      </c>
    </row>
    <row r="151">
      <c r="A151" s="88">
        <v>46061.717424421295</v>
      </c>
      <c r="B151" s="44" t="s">
        <v>178</v>
      </c>
      <c r="C151" s="44" t="s">
        <v>193</v>
      </c>
      <c r="D151" s="44" t="s">
        <v>173</v>
      </c>
      <c r="E151" s="44" t="s">
        <v>80</v>
      </c>
      <c r="F151" s="44" t="s">
        <v>183</v>
      </c>
      <c r="G151" s="44">
        <v>2.0</v>
      </c>
      <c r="H151" s="44" t="s">
        <v>194</v>
      </c>
      <c r="I151" s="44" t="s">
        <v>173</v>
      </c>
      <c r="J151" s="58">
        <v>140.0</v>
      </c>
    </row>
    <row r="152">
      <c r="A152" s="88">
        <v>46061.72369005787</v>
      </c>
      <c r="B152" s="44" t="s">
        <v>188</v>
      </c>
      <c r="C152" s="44" t="s">
        <v>73</v>
      </c>
      <c r="D152" s="44" t="s">
        <v>173</v>
      </c>
      <c r="E152" s="44" t="s">
        <v>80</v>
      </c>
      <c r="F152" s="44" t="s">
        <v>81</v>
      </c>
      <c r="G152" s="44">
        <v>1.0</v>
      </c>
      <c r="H152" s="44" t="s">
        <v>180</v>
      </c>
      <c r="I152" s="44" t="s">
        <v>169</v>
      </c>
      <c r="J152" s="58">
        <v>115.0</v>
      </c>
    </row>
    <row r="153">
      <c r="A153" s="88">
        <v>46061.72687774306</v>
      </c>
      <c r="B153" s="44" t="s">
        <v>189</v>
      </c>
      <c r="C153" s="44" t="s">
        <v>142</v>
      </c>
      <c r="D153" s="44" t="s">
        <v>173</v>
      </c>
      <c r="E153" s="44" t="s">
        <v>80</v>
      </c>
      <c r="F153" s="44" t="s">
        <v>81</v>
      </c>
      <c r="G153" s="44">
        <v>1.0</v>
      </c>
      <c r="H153" s="44" t="s">
        <v>190</v>
      </c>
      <c r="I153" s="44" t="s">
        <v>169</v>
      </c>
      <c r="J153" s="58">
        <v>145.0</v>
      </c>
    </row>
    <row r="154">
      <c r="A154" s="88">
        <v>46061.730180416664</v>
      </c>
      <c r="B154" s="44" t="s">
        <v>188</v>
      </c>
      <c r="C154" s="44" t="s">
        <v>73</v>
      </c>
      <c r="D154" s="44" t="s">
        <v>173</v>
      </c>
      <c r="E154" s="44" t="s">
        <v>80</v>
      </c>
      <c r="F154" s="44" t="s">
        <v>81</v>
      </c>
      <c r="G154" s="44">
        <v>1.0</v>
      </c>
      <c r="H154" s="44" t="s">
        <v>180</v>
      </c>
      <c r="I154" s="44" t="s">
        <v>169</v>
      </c>
      <c r="J154" s="58">
        <v>115.0</v>
      </c>
    </row>
    <row r="155">
      <c r="A155" s="88">
        <v>46061.730331631945</v>
      </c>
      <c r="B155" s="44" t="s">
        <v>188</v>
      </c>
      <c r="C155" s="44" t="s">
        <v>73</v>
      </c>
      <c r="D155" s="44" t="s">
        <v>173</v>
      </c>
      <c r="E155" s="44" t="s">
        <v>80</v>
      </c>
      <c r="F155" s="44" t="s">
        <v>81</v>
      </c>
      <c r="G155" s="44">
        <v>1.0</v>
      </c>
      <c r="H155" s="44" t="s">
        <v>180</v>
      </c>
      <c r="I155" s="44" t="s">
        <v>173</v>
      </c>
      <c r="J155" s="58">
        <v>115.0</v>
      </c>
    </row>
    <row r="156">
      <c r="A156" s="88">
        <v>46061.73112261574</v>
      </c>
      <c r="B156" s="44" t="s">
        <v>181</v>
      </c>
      <c r="C156" s="44" t="s">
        <v>191</v>
      </c>
      <c r="D156" s="44" t="s">
        <v>173</v>
      </c>
      <c r="E156" s="44" t="s">
        <v>175</v>
      </c>
      <c r="F156" s="44" t="s">
        <v>183</v>
      </c>
      <c r="G156" s="44">
        <v>6.0</v>
      </c>
      <c r="H156" s="44" t="s">
        <v>192</v>
      </c>
      <c r="I156" s="44" t="s">
        <v>173</v>
      </c>
      <c r="J156" s="58">
        <v>200.0</v>
      </c>
    </row>
    <row r="157">
      <c r="A157" s="88">
        <v>46088.4631293287</v>
      </c>
      <c r="B157" s="44" t="s">
        <v>189</v>
      </c>
      <c r="C157" s="44" t="s">
        <v>195</v>
      </c>
      <c r="D157" s="44" t="s">
        <v>196</v>
      </c>
      <c r="E157" s="44" t="s">
        <v>169</v>
      </c>
      <c r="F157" s="58">
        <v>145.0</v>
      </c>
      <c r="G157" s="44" t="s">
        <v>197</v>
      </c>
    </row>
    <row r="158">
      <c r="A158" s="88">
        <v>46088.46366008102</v>
      </c>
      <c r="B158" s="44" t="s">
        <v>189</v>
      </c>
      <c r="C158" s="44" t="s">
        <v>195</v>
      </c>
      <c r="D158" s="44" t="s">
        <v>196</v>
      </c>
      <c r="E158" s="44" t="s">
        <v>169</v>
      </c>
      <c r="F158" s="58">
        <v>145.0</v>
      </c>
      <c r="G158" s="44" t="s">
        <v>197</v>
      </c>
    </row>
    <row r="159">
      <c r="A159" s="88">
        <v>46088.47767237268</v>
      </c>
      <c r="B159" s="44" t="s">
        <v>189</v>
      </c>
      <c r="C159" s="44" t="s">
        <v>142</v>
      </c>
      <c r="D159" s="44" t="s">
        <v>173</v>
      </c>
      <c r="E159" s="44" t="s">
        <v>80</v>
      </c>
      <c r="F159" s="44" t="s">
        <v>81</v>
      </c>
      <c r="G159" s="44">
        <v>1.0</v>
      </c>
      <c r="H159" s="44" t="s">
        <v>198</v>
      </c>
      <c r="I159" s="44" t="s">
        <v>169</v>
      </c>
      <c r="J159" s="58">
        <v>362.0</v>
      </c>
    </row>
    <row r="160">
      <c r="A160" s="88">
        <v>46088.47780636574</v>
      </c>
      <c r="B160" s="44" t="s">
        <v>189</v>
      </c>
      <c r="C160" s="44" t="s">
        <v>142</v>
      </c>
      <c r="D160" s="44" t="s">
        <v>173</v>
      </c>
      <c r="E160" s="44" t="s">
        <v>80</v>
      </c>
      <c r="F160" s="44" t="s">
        <v>81</v>
      </c>
      <c r="G160" s="44">
        <v>1.0</v>
      </c>
      <c r="H160" s="44" t="s">
        <v>190</v>
      </c>
      <c r="I160" s="44" t="s">
        <v>173</v>
      </c>
      <c r="J160" s="58">
        <v>145.0</v>
      </c>
    </row>
    <row r="161">
      <c r="A161" s="88">
        <v>46088.47918484954</v>
      </c>
      <c r="B161" s="44" t="s">
        <v>189</v>
      </c>
      <c r="C161" s="44" t="s">
        <v>142</v>
      </c>
      <c r="D161" s="44" t="s">
        <v>173</v>
      </c>
      <c r="E161" s="44" t="s">
        <v>80</v>
      </c>
      <c r="F161" s="44" t="s">
        <v>81</v>
      </c>
      <c r="G161" s="44">
        <v>1.0</v>
      </c>
      <c r="H161" s="44" t="s">
        <v>190</v>
      </c>
      <c r="I161" s="44" t="s">
        <v>169</v>
      </c>
      <c r="J161" s="58">
        <v>145.0</v>
      </c>
    </row>
    <row r="162">
      <c r="A162" s="88">
        <v>46088.48392383102</v>
      </c>
      <c r="B162" s="44" t="s">
        <v>189</v>
      </c>
      <c r="C162" s="44" t="s">
        <v>142</v>
      </c>
      <c r="D162" s="44" t="s">
        <v>173</v>
      </c>
      <c r="E162" s="44" t="s">
        <v>80</v>
      </c>
      <c r="F162" s="44" t="s">
        <v>81</v>
      </c>
      <c r="G162" s="44">
        <v>1.0</v>
      </c>
      <c r="H162" s="44" t="s">
        <v>199</v>
      </c>
      <c r="I162" s="44" t="s">
        <v>169</v>
      </c>
      <c r="J162" s="58">
        <v>398.0</v>
      </c>
    </row>
    <row r="163">
      <c r="A163" s="88">
        <v>46088.48833287037</v>
      </c>
      <c r="B163" s="44" t="s">
        <v>189</v>
      </c>
      <c r="C163" s="44" t="s">
        <v>142</v>
      </c>
      <c r="D163" s="44" t="s">
        <v>173</v>
      </c>
      <c r="E163" s="44" t="s">
        <v>80</v>
      </c>
      <c r="F163" s="44" t="s">
        <v>81</v>
      </c>
      <c r="G163" s="44">
        <v>1.0</v>
      </c>
      <c r="H163" s="44" t="s">
        <v>199</v>
      </c>
      <c r="I163" s="44" t="s">
        <v>173</v>
      </c>
      <c r="J163" s="58">
        <v>253.0</v>
      </c>
    </row>
    <row r="164">
      <c r="A164" s="88">
        <v>46088.53097597222</v>
      </c>
      <c r="B164" s="44" t="s">
        <v>189</v>
      </c>
      <c r="C164" s="44" t="s">
        <v>200</v>
      </c>
      <c r="D164" s="74" t="str">
        <v>#ERROR!</v>
      </c>
      <c r="E164" s="44" t="s">
        <v>169</v>
      </c>
      <c r="F164" s="58">
        <v>217.0</v>
      </c>
      <c r="G164" s="44" t="s">
        <v>197</v>
      </c>
    </row>
    <row r="165">
      <c r="A165" s="88">
        <v>46088.564147268524</v>
      </c>
      <c r="B165" s="44" t="s">
        <v>189</v>
      </c>
      <c r="C165" s="44" t="s">
        <v>142</v>
      </c>
      <c r="D165" s="44" t="s">
        <v>173</v>
      </c>
      <c r="E165" s="44" t="s">
        <v>80</v>
      </c>
      <c r="F165" s="44" t="s">
        <v>81</v>
      </c>
      <c r="G165" s="44">
        <v>1.0</v>
      </c>
      <c r="H165" s="44" t="s">
        <v>198</v>
      </c>
      <c r="I165" s="44" t="s">
        <v>169</v>
      </c>
      <c r="J165" s="58">
        <v>217.0</v>
      </c>
    </row>
    <row r="166">
      <c r="A166" s="88">
        <v>46088.56899684027</v>
      </c>
      <c r="B166" s="44" t="s">
        <v>189</v>
      </c>
      <c r="C166" s="44" t="s">
        <v>142</v>
      </c>
      <c r="D166" s="44" t="s">
        <v>173</v>
      </c>
      <c r="E166" s="44" t="s">
        <v>80</v>
      </c>
      <c r="F166" s="44" t="s">
        <v>81</v>
      </c>
      <c r="G166" s="44">
        <v>1.0</v>
      </c>
      <c r="H166" s="44" t="s">
        <v>198</v>
      </c>
      <c r="I166" s="44" t="s">
        <v>173</v>
      </c>
      <c r="J166" s="58">
        <v>217.0</v>
      </c>
    </row>
    <row r="167">
      <c r="A167" s="88">
        <v>46088.572051180556</v>
      </c>
      <c r="B167" s="44" t="s">
        <v>189</v>
      </c>
      <c r="C167" s="44" t="s">
        <v>142</v>
      </c>
      <c r="D167" s="44" t="s">
        <v>173</v>
      </c>
      <c r="E167" s="44" t="s">
        <v>80</v>
      </c>
      <c r="F167" s="44" t="s">
        <v>81</v>
      </c>
      <c r="G167" s="44">
        <v>1.0</v>
      </c>
      <c r="H167" s="44" t="s">
        <v>190</v>
      </c>
      <c r="I167" s="44" t="s">
        <v>169</v>
      </c>
      <c r="J167" s="58">
        <v>145.0</v>
      </c>
    </row>
    <row r="168">
      <c r="A168" s="88">
        <v>46088.57231528935</v>
      </c>
      <c r="B168" s="44" t="s">
        <v>189</v>
      </c>
      <c r="C168" s="44" t="s">
        <v>142</v>
      </c>
      <c r="D168" s="44" t="s">
        <v>173</v>
      </c>
      <c r="E168" s="44" t="s">
        <v>80</v>
      </c>
      <c r="F168" s="44" t="s">
        <v>81</v>
      </c>
      <c r="G168" s="44">
        <v>1.0</v>
      </c>
      <c r="H168" s="44" t="s">
        <v>199</v>
      </c>
      <c r="I168" s="44" t="s">
        <v>173</v>
      </c>
      <c r="J168" s="58">
        <v>253.0</v>
      </c>
    </row>
    <row r="169">
      <c r="A169" s="88">
        <v>46090.95288834491</v>
      </c>
      <c r="B169" s="44" t="s">
        <v>181</v>
      </c>
      <c r="C169" s="44" t="s">
        <v>191</v>
      </c>
      <c r="D169" s="44" t="s">
        <v>173</v>
      </c>
      <c r="E169" s="44" t="s">
        <v>175</v>
      </c>
      <c r="F169" s="44" t="s">
        <v>183</v>
      </c>
      <c r="G169" s="44">
        <v>6.0</v>
      </c>
      <c r="H169" s="44" t="s">
        <v>192</v>
      </c>
      <c r="I169" s="44" t="s">
        <v>173</v>
      </c>
      <c r="J169" s="58">
        <v>190.0</v>
      </c>
    </row>
    <row r="170">
      <c r="A170" s="88">
        <v>46092.68900993056</v>
      </c>
      <c r="B170" s="44" t="s">
        <v>189</v>
      </c>
      <c r="C170" s="44" t="s">
        <v>201</v>
      </c>
      <c r="D170" s="44" t="s">
        <v>202</v>
      </c>
      <c r="E170" s="44" t="s">
        <v>169</v>
      </c>
      <c r="F170" s="58">
        <v>253.0</v>
      </c>
      <c r="G170" s="44" t="s">
        <v>203</v>
      </c>
    </row>
    <row r="171">
      <c r="A171" s="88">
        <v>46150.57265585648</v>
      </c>
      <c r="B171" s="44" t="s">
        <v>189</v>
      </c>
      <c r="C171" s="44" t="s">
        <v>142</v>
      </c>
      <c r="D171" s="44" t="s">
        <v>173</v>
      </c>
      <c r="E171" s="44" t="s">
        <v>80</v>
      </c>
      <c r="F171" s="44" t="s">
        <v>81</v>
      </c>
      <c r="G171" s="44">
        <v>1.0</v>
      </c>
      <c r="H171" s="44" t="s">
        <v>198</v>
      </c>
      <c r="I171" s="44" t="s">
        <v>169</v>
      </c>
      <c r="J171" s="58">
        <v>217.0</v>
      </c>
    </row>
    <row r="172">
      <c r="A172" s="88">
        <v>46172.600655381946</v>
      </c>
      <c r="B172" s="44" t="s">
        <v>189</v>
      </c>
      <c r="C172" s="44" t="s">
        <v>200</v>
      </c>
      <c r="D172" s="74" t="str">
        <v>#ERROR!</v>
      </c>
      <c r="E172" s="44" t="s">
        <v>169</v>
      </c>
      <c r="F172" s="58">
        <v>217.0</v>
      </c>
      <c r="G172" s="44" t="s">
        <v>197</v>
      </c>
    </row>
    <row r="173">
      <c r="A173" s="88">
        <v>46172.60626689815</v>
      </c>
      <c r="B173" s="44" t="s">
        <v>181</v>
      </c>
      <c r="C173" s="44" t="s">
        <v>191</v>
      </c>
      <c r="D173" s="44" t="s">
        <v>173</v>
      </c>
      <c r="E173" s="44" t="s">
        <v>175</v>
      </c>
      <c r="F173" s="44" t="s">
        <v>183</v>
      </c>
      <c r="G173" s="44">
        <v>6.0</v>
      </c>
      <c r="H173" s="44" t="s">
        <v>192</v>
      </c>
      <c r="I173" s="44" t="s">
        <v>169</v>
      </c>
      <c r="J173" s="58">
        <v>190.0</v>
      </c>
    </row>
    <row r="174">
      <c r="A174" s="88">
        <v>46172.60710258102</v>
      </c>
      <c r="B174" s="44" t="s">
        <v>181</v>
      </c>
      <c r="C174" s="44" t="s">
        <v>191</v>
      </c>
      <c r="D174" s="44" t="s">
        <v>173</v>
      </c>
      <c r="E174" s="44" t="s">
        <v>175</v>
      </c>
      <c r="F174" s="44" t="s">
        <v>183</v>
      </c>
      <c r="G174" s="44">
        <v>6.0</v>
      </c>
      <c r="H174" s="44" t="s">
        <v>192</v>
      </c>
      <c r="I174" s="44" t="s">
        <v>169</v>
      </c>
      <c r="J174" s="58">
        <v>190.0</v>
      </c>
    </row>
    <row r="175">
      <c r="A175" s="88">
        <v>46172.60928773148</v>
      </c>
      <c r="B175" s="44" t="s">
        <v>184</v>
      </c>
      <c r="C175" s="44" t="s">
        <v>204</v>
      </c>
      <c r="D175" s="44" t="s">
        <v>173</v>
      </c>
      <c r="E175" s="44" t="s">
        <v>80</v>
      </c>
      <c r="F175" s="44" t="s">
        <v>205</v>
      </c>
      <c r="G175" s="44">
        <v>1.0</v>
      </c>
      <c r="H175" s="44" t="s">
        <v>206</v>
      </c>
      <c r="I175" s="44" t="s">
        <v>173</v>
      </c>
      <c r="J175" s="58">
        <v>75.0</v>
      </c>
    </row>
    <row r="176">
      <c r="A176" s="88">
        <v>46172.62173965278</v>
      </c>
      <c r="B176" s="44" t="s">
        <v>181</v>
      </c>
      <c r="C176" s="44" t="s">
        <v>191</v>
      </c>
      <c r="D176" s="44" t="s">
        <v>173</v>
      </c>
      <c r="E176" s="44" t="s">
        <v>175</v>
      </c>
      <c r="F176" s="44" t="s">
        <v>183</v>
      </c>
      <c r="G176" s="44">
        <v>6.0</v>
      </c>
      <c r="H176" s="44" t="s">
        <v>192</v>
      </c>
      <c r="I176" s="44" t="s">
        <v>173</v>
      </c>
      <c r="J176" s="58">
        <v>190.0</v>
      </c>
    </row>
    <row r="177">
      <c r="A177" s="88">
        <v>46172.63172222222</v>
      </c>
      <c r="B177" s="44" t="s">
        <v>178</v>
      </c>
      <c r="C177" s="44" t="s">
        <v>193</v>
      </c>
      <c r="D177" s="44" t="s">
        <v>173</v>
      </c>
      <c r="E177" s="44" t="s">
        <v>80</v>
      </c>
      <c r="F177" s="44" t="s">
        <v>183</v>
      </c>
      <c r="G177" s="44">
        <v>2.0</v>
      </c>
      <c r="H177" s="44" t="s">
        <v>194</v>
      </c>
      <c r="I177" s="44" t="s">
        <v>169</v>
      </c>
      <c r="J177" s="58">
        <v>140.0</v>
      </c>
    </row>
    <row r="178">
      <c r="A178" s="88">
        <v>46172.665565937496</v>
      </c>
      <c r="B178" s="44" t="s">
        <v>189</v>
      </c>
      <c r="C178" s="44" t="s">
        <v>200</v>
      </c>
      <c r="D178" s="74" t="str">
        <v>#ERROR!</v>
      </c>
      <c r="E178" s="44" t="s">
        <v>169</v>
      </c>
      <c r="F178" s="58">
        <v>326.0</v>
      </c>
      <c r="G178" s="44" t="s">
        <v>197</v>
      </c>
    </row>
    <row r="179">
      <c r="A179" s="88">
        <v>46172.676881203704</v>
      </c>
      <c r="B179" s="44" t="s">
        <v>189</v>
      </c>
      <c r="C179" s="44" t="s">
        <v>195</v>
      </c>
      <c r="D179" s="44" t="s">
        <v>196</v>
      </c>
      <c r="E179" s="44" t="s">
        <v>173</v>
      </c>
      <c r="F179" s="58">
        <v>246.0</v>
      </c>
      <c r="G179" s="44" t="s">
        <v>197</v>
      </c>
    </row>
    <row r="180">
      <c r="A180" s="88">
        <v>46172.69099261574</v>
      </c>
      <c r="B180" s="44" t="s">
        <v>189</v>
      </c>
      <c r="C180" s="44" t="s">
        <v>195</v>
      </c>
      <c r="D180" s="44" t="s">
        <v>196</v>
      </c>
      <c r="E180" s="44" t="s">
        <v>169</v>
      </c>
      <c r="F180" s="58">
        <v>145.0</v>
      </c>
      <c r="G180" s="44" t="s">
        <v>197</v>
      </c>
    </row>
    <row r="181">
      <c r="A181" s="88">
        <v>46172.69120219907</v>
      </c>
      <c r="B181" s="44" t="s">
        <v>189</v>
      </c>
      <c r="C181" s="44" t="s">
        <v>142</v>
      </c>
      <c r="D181" s="44" t="s">
        <v>173</v>
      </c>
      <c r="E181" s="44" t="s">
        <v>80</v>
      </c>
      <c r="F181" s="44" t="s">
        <v>81</v>
      </c>
      <c r="G181" s="44">
        <v>1.0</v>
      </c>
      <c r="H181" s="44" t="s">
        <v>190</v>
      </c>
      <c r="I181" s="44" t="s">
        <v>169</v>
      </c>
      <c r="J181" s="58">
        <v>145.0</v>
      </c>
    </row>
    <row r="182">
      <c r="A182" s="88">
        <v>46179.56102303241</v>
      </c>
      <c r="B182" s="44" t="s">
        <v>181</v>
      </c>
      <c r="C182" s="44" t="s">
        <v>191</v>
      </c>
      <c r="D182" s="44" t="s">
        <v>173</v>
      </c>
      <c r="E182" s="44" t="s">
        <v>175</v>
      </c>
      <c r="F182" s="44" t="s">
        <v>183</v>
      </c>
      <c r="G182" s="44">
        <v>6.0</v>
      </c>
      <c r="H182" s="44" t="s">
        <v>192</v>
      </c>
      <c r="I182" s="44" t="s">
        <v>169</v>
      </c>
      <c r="J182" s="58">
        <v>190.0</v>
      </c>
    </row>
    <row r="183">
      <c r="A183" s="88">
        <v>46187.55464743056</v>
      </c>
      <c r="B183" s="44" t="s">
        <v>184</v>
      </c>
      <c r="C183" s="44" t="s">
        <v>204</v>
      </c>
      <c r="D183" s="44" t="s">
        <v>173</v>
      </c>
      <c r="E183" s="44" t="s">
        <v>80</v>
      </c>
      <c r="F183" s="44" t="s">
        <v>205</v>
      </c>
      <c r="G183" s="44">
        <v>1.0</v>
      </c>
      <c r="H183" s="44" t="s">
        <v>206</v>
      </c>
      <c r="I183" s="44" t="s">
        <v>173</v>
      </c>
      <c r="J183" s="58">
        <v>75.0</v>
      </c>
    </row>
    <row r="184">
      <c r="A184" s="88">
        <v>46187.57707576389</v>
      </c>
      <c r="B184" s="44" t="s">
        <v>189</v>
      </c>
      <c r="C184" s="44" t="s">
        <v>195</v>
      </c>
      <c r="D184" s="44" t="s">
        <v>196</v>
      </c>
      <c r="E184" s="44" t="s">
        <v>169</v>
      </c>
      <c r="F184" s="58">
        <v>145.0</v>
      </c>
      <c r="G184" s="44" t="s">
        <v>197</v>
      </c>
    </row>
    <row r="185">
      <c r="A185" s="88">
        <v>46187.59164371528</v>
      </c>
      <c r="B185" s="44" t="s">
        <v>189</v>
      </c>
      <c r="C185" s="44" t="s">
        <v>201</v>
      </c>
      <c r="D185" s="44" t="s">
        <v>202</v>
      </c>
      <c r="E185" s="44" t="s">
        <v>169</v>
      </c>
      <c r="F185" s="58">
        <v>253.0</v>
      </c>
      <c r="G185" s="44" t="s">
        <v>203</v>
      </c>
    </row>
    <row r="186">
      <c r="A186" s="88">
        <v>46187.601014942134</v>
      </c>
      <c r="B186" s="44" t="s">
        <v>189</v>
      </c>
      <c r="C186" s="44" t="s">
        <v>201</v>
      </c>
      <c r="D186" s="44" t="s">
        <v>207</v>
      </c>
      <c r="E186" s="44" t="s">
        <v>169</v>
      </c>
      <c r="F186" s="58">
        <v>326.0</v>
      </c>
      <c r="G186" s="44" t="s">
        <v>203</v>
      </c>
    </row>
    <row r="187">
      <c r="A187" s="88">
        <v>46187.6248109838</v>
      </c>
      <c r="B187" s="44" t="s">
        <v>181</v>
      </c>
      <c r="C187" s="44" t="s">
        <v>191</v>
      </c>
      <c r="D187" s="44" t="s">
        <v>173</v>
      </c>
      <c r="E187" s="44" t="s">
        <v>175</v>
      </c>
      <c r="F187" s="44" t="s">
        <v>183</v>
      </c>
      <c r="G187" s="44">
        <v>6.0</v>
      </c>
      <c r="H187" s="44" t="s">
        <v>208</v>
      </c>
      <c r="I187" s="44" t="s">
        <v>169</v>
      </c>
      <c r="J187" s="58">
        <v>90.0</v>
      </c>
    </row>
    <row r="188">
      <c r="A188" s="88">
        <v>46187.624894953704</v>
      </c>
      <c r="B188" s="44" t="s">
        <v>181</v>
      </c>
      <c r="C188" s="44" t="s">
        <v>191</v>
      </c>
      <c r="D188" s="44" t="s">
        <v>173</v>
      </c>
      <c r="E188" s="44" t="s">
        <v>175</v>
      </c>
      <c r="F188" s="44" t="s">
        <v>183</v>
      </c>
      <c r="G188" s="44">
        <v>6.0</v>
      </c>
      <c r="H188" s="44" t="s">
        <v>208</v>
      </c>
      <c r="I188" s="44" t="s">
        <v>173</v>
      </c>
      <c r="J188" s="58">
        <v>90.0</v>
      </c>
    </row>
    <row r="189">
      <c r="A189" s="88">
        <v>46187.62664957176</v>
      </c>
      <c r="B189" s="44" t="s">
        <v>181</v>
      </c>
      <c r="C189" s="44" t="s">
        <v>209</v>
      </c>
      <c r="D189" s="44" t="s">
        <v>173</v>
      </c>
      <c r="E189" s="44" t="s">
        <v>80</v>
      </c>
      <c r="F189" s="44" t="s">
        <v>183</v>
      </c>
      <c r="G189" s="44">
        <v>5.0</v>
      </c>
      <c r="H189" s="44" t="s">
        <v>208</v>
      </c>
      <c r="I189" s="44" t="s">
        <v>169</v>
      </c>
      <c r="J189" s="58">
        <v>170.0</v>
      </c>
    </row>
    <row r="190">
      <c r="A190" s="88">
        <v>46187.62689545139</v>
      </c>
      <c r="B190" s="44" t="s">
        <v>188</v>
      </c>
      <c r="C190" s="44" t="s">
        <v>73</v>
      </c>
      <c r="D190" s="44" t="s">
        <v>173</v>
      </c>
      <c r="E190" s="44" t="s">
        <v>80</v>
      </c>
      <c r="F190" s="44" t="s">
        <v>81</v>
      </c>
      <c r="G190" s="44">
        <v>1.0</v>
      </c>
      <c r="H190" s="44" t="s">
        <v>208</v>
      </c>
      <c r="I190" s="44" t="s">
        <v>173</v>
      </c>
      <c r="J190" s="58">
        <v>145.0</v>
      </c>
    </row>
    <row r="191">
      <c r="A191" s="88">
        <v>46187.627073888885</v>
      </c>
      <c r="B191" s="44" t="s">
        <v>189</v>
      </c>
      <c r="C191" s="44" t="s">
        <v>142</v>
      </c>
      <c r="D191" s="44" t="s">
        <v>173</v>
      </c>
      <c r="E191" s="44" t="s">
        <v>80</v>
      </c>
      <c r="F191" s="44" t="s">
        <v>81</v>
      </c>
      <c r="G191" s="44">
        <v>1.0</v>
      </c>
      <c r="H191" s="44" t="s">
        <v>210</v>
      </c>
      <c r="I191" s="44" t="s">
        <v>169</v>
      </c>
      <c r="J191" s="58">
        <v>217.0</v>
      </c>
    </row>
    <row r="192">
      <c r="A192" s="88">
        <v>46187.62708789352</v>
      </c>
      <c r="B192" s="44" t="s">
        <v>178</v>
      </c>
      <c r="C192" s="44" t="s">
        <v>193</v>
      </c>
      <c r="D192" s="44" t="s">
        <v>173</v>
      </c>
      <c r="E192" s="44" t="s">
        <v>80</v>
      </c>
      <c r="F192" s="44" t="s">
        <v>183</v>
      </c>
      <c r="G192" s="44">
        <v>2.0</v>
      </c>
      <c r="H192" s="44" t="s">
        <v>208</v>
      </c>
      <c r="I192" s="44" t="s">
        <v>169</v>
      </c>
      <c r="J192" s="58">
        <v>140.0</v>
      </c>
    </row>
    <row r="193">
      <c r="A193" s="88">
        <v>46187.62717486111</v>
      </c>
      <c r="B193" s="44" t="s">
        <v>181</v>
      </c>
      <c r="C193" s="44" t="s">
        <v>209</v>
      </c>
      <c r="D193" s="44" t="s">
        <v>173</v>
      </c>
      <c r="E193" s="44" t="s">
        <v>80</v>
      </c>
      <c r="F193" s="44" t="s">
        <v>183</v>
      </c>
      <c r="G193" s="44">
        <v>5.0</v>
      </c>
      <c r="H193" s="44" t="s">
        <v>208</v>
      </c>
      <c r="I193" s="44" t="s">
        <v>173</v>
      </c>
      <c r="J193" s="58">
        <v>245.0</v>
      </c>
    </row>
    <row r="194">
      <c r="A194" s="88">
        <v>46187.62721391204</v>
      </c>
      <c r="B194" s="44" t="s">
        <v>188</v>
      </c>
      <c r="C194" s="44" t="s">
        <v>73</v>
      </c>
      <c r="D194" s="44" t="s">
        <v>173</v>
      </c>
      <c r="E194" s="44" t="s">
        <v>80</v>
      </c>
      <c r="F194" s="44" t="s">
        <v>81</v>
      </c>
      <c r="G194" s="44">
        <v>1.0</v>
      </c>
      <c r="H194" s="44" t="s">
        <v>180</v>
      </c>
      <c r="I194" s="44" t="s">
        <v>169</v>
      </c>
      <c r="J194" s="58">
        <v>145.0</v>
      </c>
    </row>
    <row r="195">
      <c r="A195" s="88">
        <v>46187.627286296294</v>
      </c>
      <c r="B195" s="44" t="s">
        <v>188</v>
      </c>
      <c r="C195" s="44" t="s">
        <v>73</v>
      </c>
      <c r="D195" s="44" t="s">
        <v>173</v>
      </c>
      <c r="E195" s="44" t="s">
        <v>80</v>
      </c>
      <c r="F195" s="44" t="s">
        <v>81</v>
      </c>
      <c r="G195" s="44">
        <v>1.0</v>
      </c>
      <c r="H195" s="44" t="s">
        <v>208</v>
      </c>
      <c r="I195" s="44" t="s">
        <v>173</v>
      </c>
      <c r="J195" s="58">
        <v>145.0</v>
      </c>
    </row>
    <row r="196">
      <c r="A196" s="88">
        <v>46187.62739917824</v>
      </c>
      <c r="B196" s="44" t="s">
        <v>188</v>
      </c>
      <c r="C196" s="44" t="s">
        <v>73</v>
      </c>
      <c r="D196" s="44" t="s">
        <v>173</v>
      </c>
      <c r="E196" s="44" t="s">
        <v>80</v>
      </c>
      <c r="F196" s="44" t="s">
        <v>81</v>
      </c>
      <c r="G196" s="44">
        <v>1.0</v>
      </c>
      <c r="H196" s="44" t="s">
        <v>208</v>
      </c>
      <c r="I196" s="44" t="s">
        <v>173</v>
      </c>
      <c r="J196" s="58">
        <v>145.0</v>
      </c>
    </row>
    <row r="197">
      <c r="A197" s="88">
        <v>46187.62853023148</v>
      </c>
      <c r="B197" s="44" t="s">
        <v>188</v>
      </c>
      <c r="C197" s="44" t="s">
        <v>73</v>
      </c>
      <c r="D197" s="44" t="s">
        <v>173</v>
      </c>
      <c r="E197" s="44" t="s">
        <v>80</v>
      </c>
      <c r="F197" s="44" t="s">
        <v>81</v>
      </c>
      <c r="G197" s="44">
        <v>1.0</v>
      </c>
      <c r="H197" s="44" t="s">
        <v>208</v>
      </c>
      <c r="I197" s="44" t="s">
        <v>173</v>
      </c>
      <c r="J197" s="58">
        <v>145.0</v>
      </c>
    </row>
    <row r="198">
      <c r="A198" s="88">
        <v>46187.72287924768</v>
      </c>
      <c r="B198" s="44" t="s">
        <v>189</v>
      </c>
      <c r="C198" s="44" t="s">
        <v>195</v>
      </c>
      <c r="D198" s="44" t="s">
        <v>196</v>
      </c>
      <c r="E198" s="44" t="s">
        <v>169</v>
      </c>
      <c r="F198" s="58">
        <v>155.0</v>
      </c>
      <c r="G198" s="44" t="s">
        <v>197</v>
      </c>
    </row>
    <row r="199">
      <c r="A199" s="88">
        <v>46187.7290703125</v>
      </c>
      <c r="B199" s="44" t="s">
        <v>181</v>
      </c>
      <c r="C199" s="44" t="s">
        <v>209</v>
      </c>
      <c r="D199" s="44" t="s">
        <v>173</v>
      </c>
      <c r="E199" s="44" t="s">
        <v>80</v>
      </c>
      <c r="F199" s="44" t="s">
        <v>183</v>
      </c>
      <c r="G199" s="44">
        <v>5.0</v>
      </c>
      <c r="H199" s="44" t="s">
        <v>211</v>
      </c>
      <c r="I199" s="44" t="s">
        <v>169</v>
      </c>
      <c r="J199" s="58">
        <v>190.0</v>
      </c>
    </row>
    <row r="200">
      <c r="A200" s="88">
        <v>46187.729221076384</v>
      </c>
      <c r="B200" s="44" t="s">
        <v>181</v>
      </c>
      <c r="C200" s="44" t="s">
        <v>209</v>
      </c>
      <c r="D200" s="44" t="s">
        <v>173</v>
      </c>
      <c r="E200" s="44" t="s">
        <v>80</v>
      </c>
      <c r="F200" s="44" t="s">
        <v>183</v>
      </c>
      <c r="G200" s="44">
        <v>5.0</v>
      </c>
      <c r="H200" s="44" t="s">
        <v>211</v>
      </c>
      <c r="I200" s="44" t="s">
        <v>169</v>
      </c>
      <c r="J200" s="58">
        <v>205.0</v>
      </c>
    </row>
    <row r="201">
      <c r="A201" s="88">
        <v>46187.731864560184</v>
      </c>
      <c r="B201" s="44" t="s">
        <v>178</v>
      </c>
      <c r="C201" s="44" t="s">
        <v>193</v>
      </c>
      <c r="D201" s="44" t="s">
        <v>173</v>
      </c>
      <c r="E201" s="44" t="s">
        <v>80</v>
      </c>
      <c r="F201" s="44" t="s">
        <v>183</v>
      </c>
      <c r="G201" s="44">
        <v>2.0</v>
      </c>
      <c r="H201" s="44" t="s">
        <v>194</v>
      </c>
      <c r="I201" s="44" t="s">
        <v>173</v>
      </c>
      <c r="J201" s="58">
        <v>150.0</v>
      </c>
    </row>
    <row r="202">
      <c r="A202" s="88">
        <v>46187.744782662034</v>
      </c>
      <c r="B202" s="44" t="s">
        <v>189</v>
      </c>
      <c r="C202" s="44" t="s">
        <v>195</v>
      </c>
      <c r="D202" s="44" t="s">
        <v>196</v>
      </c>
      <c r="E202" s="44" t="s">
        <v>169</v>
      </c>
      <c r="F202" s="58">
        <v>155.0</v>
      </c>
      <c r="G202" s="44" t="s">
        <v>197</v>
      </c>
    </row>
    <row r="203">
      <c r="A203" s="88">
        <v>46187.74522622685</v>
      </c>
      <c r="B203" s="44" t="s">
        <v>189</v>
      </c>
      <c r="C203" s="44" t="s">
        <v>142</v>
      </c>
      <c r="D203" s="44" t="s">
        <v>173</v>
      </c>
      <c r="E203" s="44" t="s">
        <v>80</v>
      </c>
      <c r="F203" s="44" t="s">
        <v>81</v>
      </c>
      <c r="G203" s="44">
        <v>1.0</v>
      </c>
      <c r="H203" s="44" t="s">
        <v>190</v>
      </c>
      <c r="I203" s="44" t="s">
        <v>169</v>
      </c>
      <c r="J203" s="58">
        <v>155.0</v>
      </c>
    </row>
    <row r="204">
      <c r="A204" s="88">
        <v>46187.74603340278</v>
      </c>
      <c r="B204" s="44" t="s">
        <v>189</v>
      </c>
      <c r="C204" s="44" t="s">
        <v>142</v>
      </c>
      <c r="D204" s="44" t="s">
        <v>173</v>
      </c>
      <c r="E204" s="44" t="s">
        <v>80</v>
      </c>
      <c r="F204" s="44" t="s">
        <v>81</v>
      </c>
      <c r="G204" s="44">
        <v>1.0</v>
      </c>
      <c r="H204" s="44" t="s">
        <v>198</v>
      </c>
      <c r="I204" s="44" t="s">
        <v>169</v>
      </c>
      <c r="J204" s="58">
        <v>232.0</v>
      </c>
    </row>
    <row r="205">
      <c r="A205" s="88">
        <v>46187.746260810185</v>
      </c>
      <c r="B205" s="44" t="s">
        <v>181</v>
      </c>
      <c r="C205" s="44" t="s">
        <v>209</v>
      </c>
      <c r="D205" s="44" t="s">
        <v>173</v>
      </c>
      <c r="E205" s="44" t="s">
        <v>80</v>
      </c>
      <c r="F205" s="44" t="s">
        <v>183</v>
      </c>
      <c r="G205" s="44">
        <v>5.0</v>
      </c>
      <c r="H205" s="44" t="s">
        <v>211</v>
      </c>
      <c r="I205" s="44" t="s">
        <v>169</v>
      </c>
      <c r="J205" s="58">
        <v>220.0</v>
      </c>
    </row>
    <row r="206">
      <c r="A206" s="88">
        <v>46187.76414370371</v>
      </c>
      <c r="B206" s="44" t="s">
        <v>189</v>
      </c>
      <c r="C206" s="44" t="s">
        <v>195</v>
      </c>
      <c r="D206" s="44" t="s">
        <v>196</v>
      </c>
      <c r="E206" s="44" t="s">
        <v>169</v>
      </c>
      <c r="F206" s="58">
        <v>155.0</v>
      </c>
      <c r="G206" s="44" t="s">
        <v>197</v>
      </c>
    </row>
    <row r="207">
      <c r="A207" s="88">
        <v>46187.7659313426</v>
      </c>
      <c r="B207" s="44" t="s">
        <v>189</v>
      </c>
      <c r="C207" s="44" t="s">
        <v>201</v>
      </c>
      <c r="D207" s="44" t="s">
        <v>212</v>
      </c>
      <c r="E207" s="44" t="s">
        <v>169</v>
      </c>
      <c r="F207" s="58">
        <v>310.0</v>
      </c>
      <c r="G207" s="44" t="s">
        <v>203</v>
      </c>
    </row>
    <row r="208">
      <c r="A208" s="88">
        <v>46187.76646190972</v>
      </c>
      <c r="B208" s="44" t="s">
        <v>189</v>
      </c>
      <c r="C208" s="44" t="s">
        <v>201</v>
      </c>
      <c r="D208" s="44" t="s">
        <v>213</v>
      </c>
      <c r="E208" s="44" t="s">
        <v>169</v>
      </c>
      <c r="F208" s="58">
        <v>310.0</v>
      </c>
      <c r="G208" s="44" t="s">
        <v>203</v>
      </c>
    </row>
    <row r="209">
      <c r="A209" s="88">
        <v>46187.771508171296</v>
      </c>
      <c r="B209" s="44" t="s">
        <v>181</v>
      </c>
      <c r="C209" s="44" t="s">
        <v>209</v>
      </c>
      <c r="D209" s="44" t="s">
        <v>173</v>
      </c>
      <c r="E209" s="44" t="s">
        <v>80</v>
      </c>
      <c r="F209" s="44" t="s">
        <v>183</v>
      </c>
      <c r="G209" s="44">
        <v>5.0</v>
      </c>
      <c r="H209" s="44" t="s">
        <v>211</v>
      </c>
      <c r="I209" s="44" t="s">
        <v>169</v>
      </c>
      <c r="J209" s="58">
        <v>250.0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38"/>
  </cols>
  <sheetData>
    <row r="1" ht="26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</row>
    <row r="2" ht="26.25" customHeight="1">
      <c r="A2" s="10">
        <v>4.0</v>
      </c>
      <c r="B2" s="11">
        <v>3.0</v>
      </c>
      <c r="C2" s="11">
        <v>4.0</v>
      </c>
      <c r="D2" s="12">
        <v>1.0</v>
      </c>
      <c r="E2" s="35">
        <f>SUM(A2:D2)</f>
        <v>12</v>
      </c>
      <c r="F2" s="6"/>
      <c r="G2" s="14">
        <f>H2+I2</f>
        <v>495</v>
      </c>
      <c r="H2" s="15">
        <f> 10 + CEILING(MIN(A2,16)*75 + MIN(D2,16)*5 + MIN(C2,16)*45, 1)</f>
        <v>495</v>
      </c>
      <c r="I2" s="16">
        <f>CEILING(MAX(A2-16,0)^2*300 + MAX(D2-16,0)^2*25 + MAX(C2-16,0)^2*175,1)</f>
        <v>0</v>
      </c>
    </row>
    <row r="3" ht="26.25" customHeight="1">
      <c r="A3" s="17" t="s">
        <v>8</v>
      </c>
      <c r="B3" s="18" t="s">
        <v>9</v>
      </c>
      <c r="C3" s="18" t="s">
        <v>10</v>
      </c>
      <c r="D3" s="19"/>
      <c r="E3" s="6"/>
      <c r="F3" s="6"/>
      <c r="G3" s="20" t="s">
        <v>11</v>
      </c>
      <c r="H3" s="8" t="s">
        <v>12</v>
      </c>
      <c r="I3" s="9" t="s">
        <v>13</v>
      </c>
    </row>
    <row r="4" ht="26.25" customHeight="1">
      <c r="A4" s="21"/>
      <c r="B4" s="18" t="s">
        <v>14</v>
      </c>
      <c r="C4" s="18" t="s">
        <v>15</v>
      </c>
      <c r="D4" s="22" t="s">
        <v>16</v>
      </c>
      <c r="E4" s="6"/>
      <c r="F4" s="6"/>
      <c r="G4" s="14">
        <f>H4+I4</f>
        <v>265</v>
      </c>
      <c r="H4" s="15">
        <f> 10 + CEILING(MIN(B2,16)*20 + MIN(D2,16)*75 + MIN(C2,16)*30, 1)</f>
        <v>265</v>
      </c>
      <c r="I4" s="16">
        <f>CEILING(MAX(D2-16,0)^2*300 + MAX(B2-16,0)^2*80 + MAX(C2-16,0)^2*120,1)</f>
        <v>0</v>
      </c>
    </row>
    <row r="5" ht="26.25" customHeight="1">
      <c r="A5" s="17" t="s">
        <v>17</v>
      </c>
      <c r="B5" s="6"/>
      <c r="C5" s="18" t="s">
        <v>18</v>
      </c>
      <c r="D5" s="22" t="s">
        <v>19</v>
      </c>
      <c r="E5" s="6"/>
      <c r="F5" s="6"/>
      <c r="G5" s="23" t="s">
        <v>20</v>
      </c>
      <c r="H5" s="8" t="s">
        <v>21</v>
      </c>
      <c r="I5" s="9" t="s">
        <v>22</v>
      </c>
    </row>
    <row r="6" ht="26.25" customHeight="1">
      <c r="A6" s="21"/>
      <c r="B6" s="18" t="s">
        <v>23</v>
      </c>
      <c r="C6" s="18" t="s">
        <v>24</v>
      </c>
      <c r="D6" s="22" t="s">
        <v>25</v>
      </c>
      <c r="E6" s="6"/>
      <c r="F6" s="6"/>
      <c r="G6" s="14">
        <f>H6+I6</f>
        <v>130</v>
      </c>
      <c r="H6" s="15">
        <f> CEILING(MIN(A2,16)*20 + MIN(B2,16)*10 + MIN(C2,16)*5, 1)</f>
        <v>130</v>
      </c>
      <c r="I6" s="16">
        <f>CEILING(MAX(A2-16,0)^2*172.5 + MAX(B2-16,0)^2*86.25 + MAX(C2-16,0)^2*28.75,1)</f>
        <v>0</v>
      </c>
    </row>
    <row r="7" ht="26.25" customHeight="1">
      <c r="A7" s="21"/>
      <c r="B7" s="18" t="s">
        <v>26</v>
      </c>
      <c r="C7" s="6"/>
      <c r="D7" s="19"/>
      <c r="E7" s="6"/>
      <c r="F7" s="6"/>
      <c r="G7" s="24" t="s">
        <v>27</v>
      </c>
      <c r="H7" s="8" t="s">
        <v>28</v>
      </c>
      <c r="I7" s="9" t="s">
        <v>29</v>
      </c>
    </row>
    <row r="8" ht="26.25" customHeight="1">
      <c r="A8" s="21"/>
      <c r="B8" s="18" t="s">
        <v>30</v>
      </c>
      <c r="C8" s="6"/>
      <c r="D8" s="19"/>
      <c r="E8" s="6"/>
      <c r="F8" s="6"/>
      <c r="G8" s="14">
        <f>H8+I8</f>
        <v>70</v>
      </c>
      <c r="H8" s="15">
        <f>CEILING(MIN(B2,16)*10 + MIN(D2,16)*20 + MIN(C2,16)*5, 1)</f>
        <v>70</v>
      </c>
      <c r="I8" s="16">
        <f>CEILING(MAX(D2-16,0)^2*172.5 + MAX(B2-16,0)^2*86.25 + MAX(C2-16,0)^2*28.75,1)</f>
        <v>0</v>
      </c>
    </row>
    <row r="9" ht="26.25" customHeight="1">
      <c r="A9" s="17" t="s">
        <v>31</v>
      </c>
      <c r="B9" s="18" t="s">
        <v>32</v>
      </c>
      <c r="C9" s="6"/>
      <c r="D9" s="22" t="s">
        <v>31</v>
      </c>
      <c r="E9" s="6"/>
      <c r="F9" s="6"/>
      <c r="G9" s="25" t="s">
        <v>33</v>
      </c>
      <c r="H9" s="8" t="s">
        <v>34</v>
      </c>
      <c r="I9" s="9" t="s">
        <v>35</v>
      </c>
    </row>
    <row r="10" ht="26.25" customHeight="1">
      <c r="A10" s="17" t="s">
        <v>36</v>
      </c>
      <c r="B10" s="18" t="s">
        <v>37</v>
      </c>
      <c r="C10" s="18" t="s">
        <v>38</v>
      </c>
      <c r="D10" s="19"/>
      <c r="E10" s="6"/>
      <c r="F10" s="6"/>
      <c r="G10" s="14">
        <f>H10+I10</f>
        <v>45</v>
      </c>
      <c r="H10" s="15">
        <f>CEILING(MIN(A2,16)*4.5 + MIN(B2,16)*1 + MIN(C2,16)*6, 1)</f>
        <v>45</v>
      </c>
      <c r="I10" s="16">
        <f>CEILING(MAX(A2-16,0)^2*14 + MAX(C2-16,0)^2*20 + MAX(B2-16,0)^2*2,1)</f>
        <v>0</v>
      </c>
    </row>
    <row r="11" ht="26.25" customHeight="1">
      <c r="A11" s="28"/>
      <c r="B11" s="11" t="s">
        <v>39</v>
      </c>
      <c r="C11" s="11" t="s">
        <v>40</v>
      </c>
      <c r="D11" s="12" t="s">
        <v>41</v>
      </c>
      <c r="E11" s="6"/>
      <c r="F11" s="6"/>
      <c r="G11" s="24" t="s">
        <v>42</v>
      </c>
      <c r="H11" s="8" t="s">
        <v>43</v>
      </c>
      <c r="I11" s="9" t="s">
        <v>44</v>
      </c>
    </row>
    <row r="12" ht="26.25" customHeight="1">
      <c r="A12" s="6"/>
      <c r="B12" s="6"/>
      <c r="C12" s="6"/>
      <c r="D12" s="6"/>
      <c r="E12" s="6"/>
      <c r="F12" s="6"/>
      <c r="G12" s="14">
        <f>H12+I12</f>
        <v>32</v>
      </c>
      <c r="H12" s="15">
        <f>CEILING(MIN(B2,16)*1 + MIN(D2,16)*4.5 + MIN(C2,16)*6, 1)</f>
        <v>32</v>
      </c>
      <c r="I12" s="16">
        <f>CEILING(MAX(D2-16,0)^2*14 + MAX(C2-16,0)^2*20 + MAX(B2-16,0)^2*2,1)</f>
        <v>0</v>
      </c>
    </row>
    <row r="13" ht="26.25" customHeight="1">
      <c r="A13" s="31" t="s">
        <v>45</v>
      </c>
      <c r="B13" s="31" t="s">
        <v>46</v>
      </c>
      <c r="C13" s="31" t="s">
        <v>47</v>
      </c>
      <c r="D13" s="31" t="s">
        <v>48</v>
      </c>
      <c r="E13" s="6"/>
      <c r="F13" s="6"/>
      <c r="G13" s="32" t="s">
        <v>49</v>
      </c>
      <c r="H13" s="8" t="s">
        <v>50</v>
      </c>
      <c r="I13" s="33"/>
    </row>
    <row r="14" ht="26.25" customHeight="1">
      <c r="A14" s="39">
        <v>1.0</v>
      </c>
      <c r="B14" s="34" t="s">
        <v>51</v>
      </c>
      <c r="C14" s="39">
        <v>10.0</v>
      </c>
      <c r="D14" s="39">
        <v>5.0</v>
      </c>
      <c r="E14" s="6"/>
      <c r="F14" s="6"/>
      <c r="G14" s="14">
        <f>H14</f>
        <v>20</v>
      </c>
      <c r="H14" s="15">
        <f>5 + CEILING(MIN(B2,20)*5, 1)</f>
        <v>20</v>
      </c>
      <c r="I14" s="16"/>
    </row>
    <row r="15" ht="26.25" customHeight="1">
      <c r="A15" s="39">
        <v>2.0</v>
      </c>
      <c r="B15" s="39">
        <v>1.0</v>
      </c>
      <c r="C15" s="39">
        <v>11.0</v>
      </c>
      <c r="D15" s="39">
        <v>6.0</v>
      </c>
      <c r="E15" s="6"/>
      <c r="F15" s="6"/>
      <c r="G15" s="32" t="s">
        <v>52</v>
      </c>
      <c r="H15" s="8" t="s">
        <v>53</v>
      </c>
      <c r="I15" s="9" t="s">
        <v>54</v>
      </c>
    </row>
    <row r="16" ht="26.25" customHeight="1">
      <c r="A16" s="39">
        <v>3.0</v>
      </c>
      <c r="B16" s="39">
        <v>1.0</v>
      </c>
      <c r="C16" s="39">
        <v>12.0</v>
      </c>
      <c r="D16" s="39">
        <v>7.0</v>
      </c>
      <c r="E16" s="6"/>
      <c r="F16" s="6"/>
      <c r="G16" s="14">
        <f>H16+I16</f>
        <v>175</v>
      </c>
      <c r="H16" s="15">
        <f> 150 + CEILING(MIN(A2,16)*2 + MIN(D2,16)*2 + MIN(B2,16)*5, 1)</f>
        <v>175</v>
      </c>
      <c r="I16" s="16">
        <f>CEILING(MAX(A2-16,0)^2*(3+(1/3)) + MAX(D2-16,0)^2*(3+(1/3)) + MAX(B2-16,0)^2*(8+(1/3)),1)</f>
        <v>0</v>
      </c>
    </row>
    <row r="17" ht="26.25" customHeight="1">
      <c r="A17" s="39">
        <v>4.0</v>
      </c>
      <c r="B17" s="39">
        <v>2.0</v>
      </c>
      <c r="C17" s="39">
        <v>14.0</v>
      </c>
      <c r="D17" s="39">
        <v>8.0</v>
      </c>
      <c r="E17" s="6"/>
      <c r="F17" s="6"/>
      <c r="G17" s="24" t="s">
        <v>55</v>
      </c>
      <c r="H17" s="8" t="s">
        <v>56</v>
      </c>
      <c r="I17" s="9" t="s">
        <v>57</v>
      </c>
    </row>
    <row r="18" ht="26.25" customHeight="1">
      <c r="A18" s="39">
        <v>5.0</v>
      </c>
      <c r="B18" s="39">
        <v>1.0</v>
      </c>
      <c r="C18" s="39">
        <v>15.0</v>
      </c>
      <c r="D18" s="39">
        <v>9.0</v>
      </c>
      <c r="E18" s="6"/>
      <c r="F18" s="6"/>
      <c r="G18" s="35">
        <f>H18</f>
        <v>8</v>
      </c>
      <c r="H18" s="36">
        <f>CEILING(MIN(B2,16)*2.5, 1)</f>
        <v>8</v>
      </c>
      <c r="I18" s="37"/>
    </row>
    <row r="19" ht="26.25" customHeight="1">
      <c r="A19" s="39">
        <v>6.0</v>
      </c>
      <c r="B19" s="39">
        <v>2.0</v>
      </c>
      <c r="C19" s="39">
        <v>17.0</v>
      </c>
      <c r="D19" s="39">
        <v>10.0</v>
      </c>
      <c r="E19" s="6"/>
      <c r="F19" s="6"/>
      <c r="G19" s="6"/>
      <c r="H19" s="6"/>
      <c r="I19" s="6"/>
    </row>
    <row r="20" ht="26.25" customHeight="1">
      <c r="A20" s="39">
        <v>7.0</v>
      </c>
      <c r="B20" s="39">
        <v>1.0</v>
      </c>
      <c r="C20" s="39">
        <v>18.0</v>
      </c>
      <c r="D20" s="39">
        <v>11.0</v>
      </c>
      <c r="E20" s="6"/>
      <c r="F20" s="6"/>
      <c r="G20" s="6"/>
      <c r="H20" s="6"/>
      <c r="I20" s="6"/>
    </row>
    <row r="21" ht="26.25" customHeight="1">
      <c r="A21" s="39">
        <v>8.0</v>
      </c>
      <c r="B21" s="39">
        <v>1.0</v>
      </c>
      <c r="C21" s="39">
        <v>19.0</v>
      </c>
      <c r="D21" s="39">
        <v>12.0</v>
      </c>
      <c r="E21" s="6"/>
      <c r="F21" s="6"/>
      <c r="G21" s="6"/>
      <c r="H21" s="6"/>
      <c r="I21" s="6"/>
    </row>
    <row r="22" ht="26.25" customHeight="1">
      <c r="A22" s="39">
        <v>9.0</v>
      </c>
      <c r="B22" s="39">
        <v>2.0</v>
      </c>
      <c r="C22" s="39">
        <v>21.0</v>
      </c>
      <c r="D22" s="39">
        <v>13.0</v>
      </c>
      <c r="E22" s="6"/>
      <c r="F22" s="6"/>
      <c r="G22" s="6"/>
      <c r="H22" s="6"/>
      <c r="I22" s="6"/>
    </row>
    <row r="23" ht="26.25" customHeight="1">
      <c r="A23" s="39">
        <v>10.0</v>
      </c>
      <c r="B23" s="39">
        <v>1.0</v>
      </c>
      <c r="C23" s="39">
        <v>22.0</v>
      </c>
      <c r="D23" s="39">
        <v>14.0</v>
      </c>
      <c r="E23" s="6"/>
      <c r="F23" s="6"/>
      <c r="G23" s="6"/>
      <c r="H23" s="6"/>
      <c r="I23" s="6"/>
    </row>
    <row r="24" ht="26.25" customHeight="1">
      <c r="A24" s="39">
        <v>11.0</v>
      </c>
      <c r="B24" s="39">
        <v>1.0</v>
      </c>
      <c r="C24" s="39">
        <v>23.0</v>
      </c>
      <c r="D24" s="39">
        <v>15.0</v>
      </c>
      <c r="E24" s="6"/>
      <c r="F24" s="6"/>
      <c r="G24" s="6"/>
      <c r="H24" s="6"/>
      <c r="I24" s="6"/>
    </row>
    <row r="25" ht="26.25" customHeight="1">
      <c r="A25" s="39">
        <v>12.0</v>
      </c>
      <c r="B25" s="39">
        <v>2.0</v>
      </c>
      <c r="C25" s="39">
        <v>25.0</v>
      </c>
      <c r="D25" s="39">
        <v>16.0</v>
      </c>
      <c r="E25" s="6"/>
      <c r="F25" s="6"/>
      <c r="G25" s="6"/>
      <c r="H25" s="6"/>
      <c r="I25" s="6"/>
    </row>
    <row r="26" ht="26.25" customHeight="1">
      <c r="A26" s="39">
        <v>13.0</v>
      </c>
      <c r="B26" s="39">
        <v>1.0</v>
      </c>
      <c r="C26" s="39">
        <v>26.0</v>
      </c>
      <c r="D26" s="39">
        <v>16.0</v>
      </c>
      <c r="E26" s="6"/>
      <c r="F26" s="6"/>
      <c r="G26" s="6"/>
      <c r="H26" s="6"/>
      <c r="I26" s="6"/>
    </row>
    <row r="27" ht="26.25" customHeight="1">
      <c r="A27" s="39">
        <v>14.0</v>
      </c>
      <c r="B27" s="39">
        <v>1.0</v>
      </c>
      <c r="C27" s="39">
        <v>27.0</v>
      </c>
      <c r="D27" s="39">
        <v>16.0</v>
      </c>
      <c r="E27" s="6"/>
      <c r="F27" s="6"/>
      <c r="G27" s="18" t="s">
        <v>214</v>
      </c>
      <c r="H27" s="6"/>
      <c r="I27" s="6"/>
    </row>
    <row r="28" ht="26.25" customHeight="1">
      <c r="A28" s="39">
        <v>15.0</v>
      </c>
      <c r="B28" s="39">
        <v>2.0</v>
      </c>
      <c r="C28" s="39">
        <v>29.0</v>
      </c>
      <c r="D28" s="39">
        <v>16.0</v>
      </c>
      <c r="E28" s="6"/>
      <c r="F28" s="6"/>
      <c r="G28" s="6"/>
      <c r="H28" s="6"/>
      <c r="I28" s="6"/>
    </row>
    <row r="29" ht="26.25" customHeight="1">
      <c r="A29" s="39">
        <v>16.0</v>
      </c>
      <c r="B29" s="39">
        <v>1.0</v>
      </c>
      <c r="C29" s="39">
        <v>30.0</v>
      </c>
      <c r="D29" s="39">
        <v>16.0</v>
      </c>
      <c r="E29" s="6"/>
      <c r="F29" s="6"/>
      <c r="G29" s="6"/>
      <c r="H29" s="6"/>
      <c r="I29" s="6"/>
    </row>
    <row r="30" ht="26.25" customHeight="1">
      <c r="A30" s="39">
        <v>17.0</v>
      </c>
      <c r="B30" s="39">
        <v>1.0</v>
      </c>
      <c r="C30" s="39">
        <v>31.0</v>
      </c>
      <c r="D30" s="39">
        <v>16.0</v>
      </c>
      <c r="E30" s="6"/>
      <c r="F30" s="6"/>
      <c r="G30" s="6"/>
      <c r="H30" s="6"/>
      <c r="I30" s="6"/>
    </row>
    <row r="31" ht="26.25" customHeight="1">
      <c r="A31" s="39">
        <v>18.0</v>
      </c>
      <c r="B31" s="39">
        <v>2.0</v>
      </c>
      <c r="C31" s="39">
        <v>33.0</v>
      </c>
      <c r="D31" s="39">
        <v>16.0</v>
      </c>
      <c r="E31" s="6"/>
      <c r="F31" s="6"/>
      <c r="G31" s="6"/>
      <c r="H31" s="6"/>
      <c r="I31" s="6"/>
    </row>
    <row r="32" ht="26.25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26.25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26.25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26.25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26.25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26.25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26.25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26.25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26.25" customHeight="1">
      <c r="A40" s="38"/>
      <c r="B40" s="38"/>
      <c r="C40" s="38"/>
      <c r="D40" s="38"/>
      <c r="E40" s="38"/>
      <c r="F40" s="38"/>
      <c r="G40" s="38"/>
      <c r="H40" s="38"/>
      <c r="I40" s="38"/>
    </row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dataValidations>
    <dataValidation type="custom" allowBlank="1" showDropDown="1" sqref="A14:D31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63"/>
    <col customWidth="1" min="3" max="3" width="18.63"/>
    <col customWidth="1" min="4" max="4" width="19.5"/>
    <col customWidth="1" min="5" max="5" width="21.75"/>
    <col customWidth="1" min="6" max="6" width="36.75"/>
    <col customWidth="1" min="7" max="11" width="18.63"/>
    <col customWidth="1" min="12" max="12" width="21.63"/>
    <col customWidth="1" min="13" max="13" width="18.63"/>
    <col customWidth="1" min="14" max="14" width="43.63"/>
    <col customWidth="1" min="15" max="15" width="37.88"/>
    <col customWidth="1" min="16" max="17" width="18.63"/>
    <col customWidth="1" min="18" max="18" width="133.0"/>
    <col customWidth="1" min="19" max="26" width="18.63"/>
  </cols>
  <sheetData>
    <row r="1" ht="30.0" customHeight="1">
      <c r="A1" s="40" t="s">
        <v>58</v>
      </c>
      <c r="B1" s="34" t="s">
        <v>59</v>
      </c>
      <c r="C1" s="34" t="s">
        <v>60</v>
      </c>
      <c r="D1" s="34" t="s">
        <v>61</v>
      </c>
      <c r="E1" s="89" t="s">
        <v>141</v>
      </c>
      <c r="F1" s="90" t="s">
        <v>63</v>
      </c>
      <c r="G1" s="34" t="s">
        <v>64</v>
      </c>
      <c r="H1" s="42" t="s">
        <v>65</v>
      </c>
      <c r="K1" s="43" t="s">
        <v>66</v>
      </c>
      <c r="L1" s="43" t="s">
        <v>67</v>
      </c>
      <c r="M1" s="43" t="s">
        <v>68</v>
      </c>
    </row>
    <row r="2" ht="30.0" customHeight="1">
      <c r="A2" s="47" t="s">
        <v>5</v>
      </c>
      <c r="B2" s="48">
        <f>'Stats JB'!G2</f>
        <v>495</v>
      </c>
      <c r="C2" s="49"/>
      <c r="D2" s="48">
        <f t="shared" ref="D2:D3" si="1">B2+C2</f>
        <v>495</v>
      </c>
      <c r="E2" s="39">
        <v>0.0</v>
      </c>
      <c r="F2" s="34">
        <v>0.0</v>
      </c>
      <c r="G2" s="34" t="s">
        <v>72</v>
      </c>
      <c r="H2" s="50" t="b">
        <v>0</v>
      </c>
      <c r="K2" s="64" t="b">
        <v>1</v>
      </c>
      <c r="L2" s="44" t="s">
        <v>193</v>
      </c>
      <c r="M2" s="91">
        <v>315.0</v>
      </c>
      <c r="O2" s="92" t="s">
        <v>215</v>
      </c>
      <c r="P2" s="93"/>
    </row>
    <row r="3" ht="30.0" customHeight="1">
      <c r="A3" s="52" t="s">
        <v>11</v>
      </c>
      <c r="B3" s="48">
        <f>'Stats JB'!G4</f>
        <v>265</v>
      </c>
      <c r="C3" s="49"/>
      <c r="D3" s="48">
        <f t="shared" si="1"/>
        <v>265</v>
      </c>
      <c r="E3" s="39">
        <v>235.0</v>
      </c>
      <c r="F3" s="34">
        <v>235.0</v>
      </c>
      <c r="G3" s="34" t="s">
        <v>79</v>
      </c>
      <c r="H3" s="50" t="b">
        <v>0</v>
      </c>
      <c r="K3" s="64" t="s">
        <v>80</v>
      </c>
      <c r="L3" s="64" t="s">
        <v>183</v>
      </c>
      <c r="M3" s="94"/>
      <c r="O3" s="92" t="s">
        <v>216</v>
      </c>
    </row>
    <row r="4" ht="30.0" customHeight="1">
      <c r="A4" s="53" t="s">
        <v>85</v>
      </c>
      <c r="B4" s="48"/>
      <c r="C4" s="49"/>
      <c r="D4" s="48"/>
      <c r="E4" s="39">
        <v>0.0</v>
      </c>
      <c r="F4" s="34">
        <v>0.0</v>
      </c>
      <c r="G4" s="34" t="s">
        <v>86</v>
      </c>
      <c r="H4" s="50" t="b">
        <v>0</v>
      </c>
      <c r="K4" s="94"/>
      <c r="L4" s="64">
        <v>2.0</v>
      </c>
      <c r="M4" s="94"/>
    </row>
    <row r="5" ht="30.0" customHeight="1">
      <c r="A5" s="49"/>
      <c r="B5" s="48"/>
      <c r="C5" s="49"/>
      <c r="D5" s="48"/>
      <c r="E5" s="48"/>
      <c r="F5" s="34"/>
      <c r="G5" s="34" t="s">
        <v>140</v>
      </c>
      <c r="H5" s="50" t="b">
        <v>0</v>
      </c>
    </row>
    <row r="6" ht="30.0" customHeight="1">
      <c r="A6" s="54" t="s">
        <v>20</v>
      </c>
      <c r="B6" s="48">
        <f>'Stats JB'!G6</f>
        <v>130</v>
      </c>
      <c r="C6" s="89">
        <v>20.0</v>
      </c>
      <c r="D6" s="48">
        <f t="shared" ref="D6:D7" si="2">B6+C6</f>
        <v>150</v>
      </c>
      <c r="E6" s="39">
        <v>150.0</v>
      </c>
      <c r="F6" s="34">
        <v>150.0</v>
      </c>
      <c r="G6" s="34" t="s">
        <v>88</v>
      </c>
      <c r="H6" s="50" t="b">
        <v>0</v>
      </c>
    </row>
    <row r="7" ht="30.0" customHeight="1">
      <c r="A7" s="55" t="s">
        <v>27</v>
      </c>
      <c r="B7" s="48">
        <f>Statistiques!G8</f>
        <v>85</v>
      </c>
      <c r="C7" s="49"/>
      <c r="D7" s="48">
        <f t="shared" si="2"/>
        <v>85</v>
      </c>
      <c r="E7" s="39">
        <v>85.0</v>
      </c>
      <c r="F7" s="34">
        <v>85.0</v>
      </c>
      <c r="G7" s="34" t="s">
        <v>89</v>
      </c>
      <c r="H7" s="50" t="b">
        <v>0</v>
      </c>
      <c r="K7" s="95"/>
    </row>
    <row r="8" ht="30.0" customHeight="1">
      <c r="A8" s="49"/>
      <c r="B8" s="96"/>
      <c r="C8" s="49"/>
      <c r="D8" s="48"/>
      <c r="E8" s="48"/>
      <c r="F8" s="34"/>
      <c r="G8" s="34" t="s">
        <v>90</v>
      </c>
      <c r="H8" s="50" t="b">
        <v>0</v>
      </c>
    </row>
    <row r="9" ht="30.0" customHeight="1">
      <c r="A9" s="56" t="s">
        <v>33</v>
      </c>
      <c r="B9" s="48">
        <f>'Stats JB'!G10</f>
        <v>45</v>
      </c>
      <c r="C9" s="49"/>
      <c r="D9" s="48">
        <f t="shared" ref="D9:D10" si="3">B9+C9</f>
        <v>45</v>
      </c>
      <c r="E9" s="39">
        <v>56.0</v>
      </c>
      <c r="F9" s="34">
        <v>56.0</v>
      </c>
      <c r="G9" s="34" t="s">
        <v>91</v>
      </c>
      <c r="H9" s="50" t="b">
        <v>0</v>
      </c>
    </row>
    <row r="10" ht="30.0" customHeight="1">
      <c r="A10" s="57" t="s">
        <v>92</v>
      </c>
      <c r="B10" s="48">
        <f>'Stats JB'!G12</f>
        <v>32</v>
      </c>
      <c r="C10" s="49"/>
      <c r="D10" s="48">
        <f t="shared" si="3"/>
        <v>32</v>
      </c>
      <c r="E10" s="97">
        <v>40.0</v>
      </c>
      <c r="F10" s="89">
        <v>40.0</v>
      </c>
      <c r="G10" s="34" t="s">
        <v>93</v>
      </c>
      <c r="H10" s="50" t="b">
        <v>0</v>
      </c>
    </row>
    <row r="11" ht="30.0" customHeight="1">
      <c r="A11" s="49"/>
      <c r="B11" s="48"/>
      <c r="C11" s="49"/>
      <c r="D11" s="48"/>
      <c r="E11" s="48"/>
      <c r="F11" s="34"/>
      <c r="G11" s="34" t="s">
        <v>94</v>
      </c>
      <c r="H11" s="59" t="b">
        <v>0</v>
      </c>
      <c r="J11" s="64" t="s">
        <v>217</v>
      </c>
      <c r="K11" s="44">
        <v>5.0</v>
      </c>
      <c r="L11" s="44">
        <v>0.0</v>
      </c>
    </row>
    <row r="12" ht="30.0" customHeight="1">
      <c r="A12" s="60" t="s">
        <v>95</v>
      </c>
      <c r="B12" s="48">
        <f>'Stats JB'!G14</f>
        <v>20</v>
      </c>
      <c r="C12" s="49"/>
      <c r="D12" s="48">
        <f t="shared" ref="D12:D13" si="4">B12+C12</f>
        <v>20</v>
      </c>
      <c r="E12" s="97">
        <v>20.0</v>
      </c>
      <c r="F12" s="34">
        <v>20.0</v>
      </c>
      <c r="G12" s="34" t="s">
        <v>96</v>
      </c>
      <c r="H12" s="59" t="b">
        <v>0</v>
      </c>
      <c r="J12" s="64" t="s">
        <v>218</v>
      </c>
      <c r="K12" s="44">
        <v>2.0</v>
      </c>
    </row>
    <row r="13" ht="30.0" customHeight="1">
      <c r="A13" s="60" t="s">
        <v>97</v>
      </c>
      <c r="B13" s="48">
        <f>Statistiques!G16</f>
        <v>250</v>
      </c>
      <c r="C13" s="49"/>
      <c r="D13" s="48">
        <f t="shared" si="4"/>
        <v>250</v>
      </c>
      <c r="E13" s="39">
        <v>210.0</v>
      </c>
      <c r="F13" s="34"/>
      <c r="G13" s="34" t="s">
        <v>98</v>
      </c>
      <c r="H13" s="59" t="b">
        <v>0</v>
      </c>
      <c r="J13" s="64" t="s">
        <v>219</v>
      </c>
      <c r="K13" s="44" t="b">
        <v>1</v>
      </c>
    </row>
    <row r="14" ht="30.0" customHeight="1">
      <c r="A14" s="34" t="s">
        <v>99</v>
      </c>
      <c r="B14" s="34" t="s">
        <v>100</v>
      </c>
      <c r="C14" s="34" t="s">
        <v>101</v>
      </c>
      <c r="D14" s="34" t="s">
        <v>144</v>
      </c>
      <c r="E14" s="34" t="s">
        <v>103</v>
      </c>
      <c r="F14" s="31">
        <v>0.0</v>
      </c>
      <c r="G14" s="34" t="s">
        <v>104</v>
      </c>
      <c r="H14" s="50" t="b">
        <v>0</v>
      </c>
      <c r="J14" s="44" t="s">
        <v>220</v>
      </c>
      <c r="K14" s="58">
        <v>0.0</v>
      </c>
      <c r="M14" s="44" t="s">
        <v>221</v>
      </c>
    </row>
    <row r="15" ht="30.0" customHeight="1">
      <c r="A15" s="54" t="s">
        <v>105</v>
      </c>
      <c r="B15" s="48"/>
      <c r="C15" s="49"/>
      <c r="D15" s="48">
        <f t="shared" ref="D15:D17" si="5">B15+C15</f>
        <v>0</v>
      </c>
      <c r="E15" s="39">
        <v>0.0</v>
      </c>
      <c r="F15" s="34"/>
      <c r="G15" s="34" t="s">
        <v>106</v>
      </c>
      <c r="H15" s="50" t="b">
        <v>0</v>
      </c>
      <c r="J15" s="44" t="s">
        <v>222</v>
      </c>
      <c r="K15" s="44" t="b">
        <v>0</v>
      </c>
    </row>
    <row r="16" ht="30.0" customHeight="1">
      <c r="A16" s="55" t="s">
        <v>107</v>
      </c>
      <c r="B16" s="48">
        <f>'Stats JB'!G18</f>
        <v>8</v>
      </c>
      <c r="C16" s="49"/>
      <c r="D16" s="48">
        <f t="shared" si="5"/>
        <v>8</v>
      </c>
      <c r="E16" s="39">
        <v>8.0</v>
      </c>
      <c r="F16" s="34"/>
      <c r="G16" s="34" t="s">
        <v>108</v>
      </c>
      <c r="H16" s="50" t="b">
        <v>0</v>
      </c>
    </row>
    <row r="17" ht="30.0" customHeight="1">
      <c r="A17" s="61" t="s">
        <v>109</v>
      </c>
      <c r="B17" s="48"/>
      <c r="C17" s="49"/>
      <c r="D17" s="48">
        <f t="shared" si="5"/>
        <v>0</v>
      </c>
      <c r="E17" s="39">
        <v>0.0</v>
      </c>
      <c r="F17" s="62"/>
      <c r="G17" s="62"/>
      <c r="H17" s="59"/>
      <c r="K17" s="64" t="s">
        <v>223</v>
      </c>
    </row>
    <row r="18" ht="30.0" customHeight="1">
      <c r="A18" s="38"/>
      <c r="B18" s="38"/>
      <c r="C18" s="38"/>
      <c r="D18" s="38"/>
      <c r="E18" s="38"/>
      <c r="F18" s="38"/>
      <c r="G18" s="38"/>
    </row>
    <row r="19" ht="30.0" customHeight="1">
      <c r="A19" s="63"/>
      <c r="B19" s="38"/>
      <c r="C19" s="38"/>
      <c r="D19" s="38"/>
      <c r="E19" s="38"/>
      <c r="F19" s="38"/>
      <c r="G19" s="38"/>
    </row>
    <row r="20" ht="30.0" customHeight="1">
      <c r="A20" s="63"/>
      <c r="B20" s="38"/>
      <c r="C20" s="38"/>
      <c r="D20" s="38"/>
      <c r="E20" s="38"/>
      <c r="F20" s="38"/>
      <c r="G20" s="38"/>
      <c r="I20" s="95" t="s">
        <v>224</v>
      </c>
    </row>
    <row r="21" ht="30.0" customHeight="1">
      <c r="A21" s="38"/>
      <c r="D21" s="38"/>
      <c r="E21" s="38"/>
      <c r="F21" s="38"/>
      <c r="G21" s="38"/>
      <c r="I21" s="95" t="s">
        <v>225</v>
      </c>
    </row>
    <row r="22" ht="30.0" customHeight="1">
      <c r="A22" s="66"/>
      <c r="B22" s="58"/>
      <c r="C22" s="58"/>
      <c r="D22" s="58"/>
      <c r="E22" s="38"/>
      <c r="G22" s="38"/>
    </row>
    <row r="23" ht="30.0" customHeight="1">
      <c r="A23" s="66" t="s">
        <v>112</v>
      </c>
      <c r="B23" s="67" t="s">
        <v>113</v>
      </c>
      <c r="C23" s="67" t="s">
        <v>114</v>
      </c>
      <c r="D23" s="67" t="s">
        <v>115</v>
      </c>
      <c r="E23" s="42" t="s">
        <v>116</v>
      </c>
      <c r="F23" s="38"/>
    </row>
    <row r="24" ht="30.0" customHeight="1">
      <c r="B24" s="68" t="s">
        <v>117</v>
      </c>
      <c r="C24" s="69" t="s">
        <v>193</v>
      </c>
      <c r="D24" s="69">
        <v>1.0</v>
      </c>
      <c r="E24" s="71" t="s">
        <v>226</v>
      </c>
      <c r="F24" s="38"/>
      <c r="H24" s="98"/>
    </row>
    <row r="25" ht="30.0" customHeight="1">
      <c r="B25" s="68" t="s">
        <v>117</v>
      </c>
      <c r="C25" s="69" t="s">
        <v>227</v>
      </c>
      <c r="D25" s="69">
        <v>1.0</v>
      </c>
      <c r="E25" s="62"/>
      <c r="F25" s="38"/>
      <c r="H25" s="95"/>
    </row>
    <row r="26" ht="30.0" customHeight="1">
      <c r="B26" s="68" t="s">
        <v>120</v>
      </c>
      <c r="C26" s="69" t="s">
        <v>121</v>
      </c>
      <c r="D26" s="69">
        <v>0.0</v>
      </c>
      <c r="E26" s="50" t="s">
        <v>122</v>
      </c>
      <c r="F26" s="38"/>
      <c r="H26" s="95"/>
    </row>
    <row r="27" ht="30.0" customHeight="1">
      <c r="B27" s="68" t="s">
        <v>120</v>
      </c>
      <c r="C27" s="69" t="s">
        <v>123</v>
      </c>
      <c r="D27" s="69">
        <v>1.0</v>
      </c>
      <c r="E27" s="50" t="s">
        <v>124</v>
      </c>
      <c r="F27" s="38"/>
      <c r="H27" s="95"/>
    </row>
    <row r="28" ht="30.0" customHeight="1">
      <c r="B28" s="68" t="s">
        <v>129</v>
      </c>
      <c r="C28" s="69" t="s">
        <v>131</v>
      </c>
      <c r="D28" s="69">
        <v>0.0</v>
      </c>
      <c r="E28" s="50"/>
      <c r="F28" s="38"/>
    </row>
    <row r="29" ht="30.0" customHeight="1">
      <c r="A29" s="38"/>
      <c r="B29" s="68" t="s">
        <v>129</v>
      </c>
      <c r="C29" s="69" t="s">
        <v>132</v>
      </c>
      <c r="D29" s="69">
        <v>10.0</v>
      </c>
      <c r="E29" s="50" t="s">
        <v>133</v>
      </c>
      <c r="F29" s="38"/>
    </row>
    <row r="30" ht="30.0" customHeight="1">
      <c r="A30" s="38"/>
      <c r="B30" s="68" t="s">
        <v>129</v>
      </c>
      <c r="C30" s="69" t="s">
        <v>134</v>
      </c>
      <c r="D30" s="69">
        <v>10.0</v>
      </c>
      <c r="E30" s="50" t="s">
        <v>135</v>
      </c>
      <c r="F30" s="38"/>
    </row>
    <row r="31" ht="30.0" customHeight="1">
      <c r="A31" s="38"/>
      <c r="B31" s="68" t="s">
        <v>129</v>
      </c>
      <c r="C31" s="69" t="s">
        <v>136</v>
      </c>
      <c r="D31" s="69">
        <v>10.0</v>
      </c>
      <c r="E31" s="50" t="s">
        <v>137</v>
      </c>
      <c r="F31" s="38"/>
    </row>
    <row r="32" ht="30.0" customHeight="1">
      <c r="A32" s="38"/>
      <c r="B32" s="99" t="s">
        <v>129</v>
      </c>
      <c r="C32" s="50" t="s">
        <v>228</v>
      </c>
      <c r="D32" s="50">
        <v>1.0</v>
      </c>
      <c r="E32" s="50" t="s">
        <v>229</v>
      </c>
      <c r="F32" s="38"/>
    </row>
    <row r="33" ht="30.0" customHeight="1">
      <c r="A33" s="38"/>
      <c r="B33" s="38"/>
      <c r="C33" s="38"/>
      <c r="D33" s="38"/>
      <c r="E33" s="38"/>
      <c r="F33" s="38"/>
      <c r="G33" s="38"/>
    </row>
    <row r="34" ht="30.0" customHeight="1">
      <c r="A34" s="38"/>
      <c r="B34" s="38"/>
      <c r="C34" s="38"/>
      <c r="D34" s="38"/>
      <c r="E34" s="38"/>
      <c r="F34" s="38"/>
      <c r="G34" s="38"/>
    </row>
    <row r="35" ht="30.0" customHeight="1">
      <c r="A35" s="38"/>
      <c r="B35" s="38"/>
      <c r="C35" s="38"/>
      <c r="D35" s="38"/>
      <c r="E35" s="38"/>
      <c r="F35" s="38"/>
      <c r="G35" s="38"/>
    </row>
    <row r="36" ht="30.0" customHeight="1">
      <c r="A36" s="38"/>
      <c r="B36" s="38"/>
      <c r="C36" s="38"/>
      <c r="D36" s="38"/>
      <c r="E36" s="38"/>
      <c r="F36" s="38"/>
      <c r="G36" s="38"/>
    </row>
    <row r="37" ht="30.0" customHeight="1">
      <c r="A37" s="38"/>
      <c r="B37" s="38"/>
      <c r="C37" s="38"/>
      <c r="D37" s="38"/>
      <c r="E37" s="38"/>
      <c r="F37" s="38"/>
      <c r="G37" s="38"/>
    </row>
    <row r="38" ht="30.0" customHeight="1">
      <c r="A38" s="38"/>
      <c r="B38" s="38"/>
      <c r="C38" s="38"/>
      <c r="D38" s="38"/>
      <c r="E38" s="38"/>
      <c r="F38" s="38"/>
      <c r="G38" s="38"/>
    </row>
    <row r="39" ht="30.0" customHeight="1">
      <c r="A39" s="38"/>
      <c r="B39" s="38"/>
      <c r="C39" s="38"/>
      <c r="D39" s="38"/>
      <c r="E39" s="38"/>
      <c r="F39" s="38"/>
      <c r="G39" s="38"/>
    </row>
    <row r="40" ht="30.0" customHeight="1">
      <c r="A40" s="38"/>
      <c r="B40" s="38"/>
      <c r="C40" s="38"/>
      <c r="D40" s="38"/>
      <c r="E40" s="38"/>
      <c r="F40" s="38"/>
      <c r="G40" s="38"/>
    </row>
    <row r="41" ht="30.0" customHeight="1">
      <c r="B41" s="38"/>
      <c r="C41" s="38"/>
      <c r="D41" s="38"/>
      <c r="E41" s="38"/>
    </row>
    <row r="42" ht="30.0" customHeight="1">
      <c r="B42" s="38"/>
      <c r="C42" s="38"/>
      <c r="D42" s="38"/>
      <c r="E42" s="38"/>
    </row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dataValidations>
    <dataValidation type="custom" allowBlank="1" showDropDown="1" sqref="B2:B17 D2:E1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38"/>
  </cols>
  <sheetData>
    <row r="1" ht="26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</row>
    <row r="2" ht="26.25" customHeight="1">
      <c r="A2" s="10">
        <v>1.0</v>
      </c>
      <c r="B2" s="11">
        <v>6.0</v>
      </c>
      <c r="C2" s="11">
        <v>1.0</v>
      </c>
      <c r="D2" s="12">
        <v>4.0</v>
      </c>
      <c r="E2" s="35">
        <f>SUM(A2:D2)</f>
        <v>12</v>
      </c>
      <c r="F2" s="6"/>
      <c r="G2" s="14">
        <f>H2+I2</f>
        <v>150</v>
      </c>
      <c r="H2" s="15">
        <f> 10 + CEILING(MIN(A2,16)*75 + MIN(D2,16)*5 + MIN(C2,16)*45, 1)</f>
        <v>150</v>
      </c>
      <c r="I2" s="16">
        <f>CEILING(MAX(A2-16,0)^2*300 + MAX(D2-16,0)^2*25 + MAX(C2-16,0)^2*175,1)</f>
        <v>0</v>
      </c>
    </row>
    <row r="3" ht="26.25" customHeight="1">
      <c r="A3" s="17" t="s">
        <v>8</v>
      </c>
      <c r="B3" s="18" t="s">
        <v>9</v>
      </c>
      <c r="C3" s="18" t="s">
        <v>10</v>
      </c>
      <c r="D3" s="19"/>
      <c r="E3" s="6"/>
      <c r="F3" s="6"/>
      <c r="G3" s="20" t="s">
        <v>11</v>
      </c>
      <c r="H3" s="8" t="s">
        <v>12</v>
      </c>
      <c r="I3" s="9" t="s">
        <v>13</v>
      </c>
    </row>
    <row r="4" ht="26.25" customHeight="1">
      <c r="A4" s="21"/>
      <c r="B4" s="18" t="s">
        <v>14</v>
      </c>
      <c r="C4" s="18" t="s">
        <v>15</v>
      </c>
      <c r="D4" s="22" t="s">
        <v>16</v>
      </c>
      <c r="E4" s="6"/>
      <c r="F4" s="6"/>
      <c r="G4" s="14">
        <f>H4+I4</f>
        <v>460</v>
      </c>
      <c r="H4" s="15">
        <f> 10 + CEILING(MIN(B2,16)*20 + MIN(D2,16)*75 + MIN(C2,16)*30, 1)</f>
        <v>460</v>
      </c>
      <c r="I4" s="16">
        <f>CEILING(MAX(D2-16,0)^2*300 + MAX(B2-16,0)^2*80 + MAX(C2-16,0)^2*120,1)</f>
        <v>0</v>
      </c>
    </row>
    <row r="5" ht="26.25" customHeight="1">
      <c r="A5" s="17" t="s">
        <v>17</v>
      </c>
      <c r="B5" s="6"/>
      <c r="C5" s="18" t="s">
        <v>18</v>
      </c>
      <c r="D5" s="22" t="s">
        <v>19</v>
      </c>
      <c r="E5" s="6"/>
      <c r="F5" s="6"/>
      <c r="G5" s="23" t="s">
        <v>20</v>
      </c>
      <c r="H5" s="8" t="s">
        <v>21</v>
      </c>
      <c r="I5" s="9" t="s">
        <v>22</v>
      </c>
    </row>
    <row r="6" ht="26.25" customHeight="1">
      <c r="A6" s="21"/>
      <c r="B6" s="18" t="s">
        <v>23</v>
      </c>
      <c r="C6" s="18" t="s">
        <v>24</v>
      </c>
      <c r="D6" s="22" t="s">
        <v>25</v>
      </c>
      <c r="E6" s="6"/>
      <c r="F6" s="6"/>
      <c r="G6" s="14">
        <f>H6+I6</f>
        <v>85</v>
      </c>
      <c r="H6" s="15">
        <f> CEILING(MIN(A2,16)*20 + MIN(B2,16)*10 + MIN(C2,16)*5, 1)</f>
        <v>85</v>
      </c>
      <c r="I6" s="16">
        <f>CEILING(MAX(A2-16,0)^2*172.5 + MAX(B2-16,0)^2*86.25 + MAX(C2-16,0)^2*28.75,1)</f>
        <v>0</v>
      </c>
    </row>
    <row r="7" ht="26.25" customHeight="1">
      <c r="A7" s="21"/>
      <c r="B7" s="18" t="s">
        <v>26</v>
      </c>
      <c r="C7" s="6"/>
      <c r="D7" s="19"/>
      <c r="E7" s="6"/>
      <c r="F7" s="6"/>
      <c r="G7" s="24" t="s">
        <v>27</v>
      </c>
      <c r="H7" s="8" t="s">
        <v>28</v>
      </c>
      <c r="I7" s="9" t="s">
        <v>29</v>
      </c>
    </row>
    <row r="8" ht="26.25" customHeight="1">
      <c r="A8" s="21"/>
      <c r="B8" s="18" t="s">
        <v>30</v>
      </c>
      <c r="C8" s="6"/>
      <c r="D8" s="19"/>
      <c r="E8" s="6"/>
      <c r="F8" s="6"/>
      <c r="G8" s="14">
        <f>H8+I8</f>
        <v>145</v>
      </c>
      <c r="H8" s="15">
        <f>CEILING(MIN(B2,16)*10 + MIN(D2,16)*20 + MIN(C2,16)*5, 1)</f>
        <v>145</v>
      </c>
      <c r="I8" s="16">
        <f>CEILING(MAX(D2-16,0)^2*172.5 + MAX(B2-16,0)^2*86.25 + MAX(C2-16,0)^2*28.75,1)</f>
        <v>0</v>
      </c>
    </row>
    <row r="9" ht="26.25" customHeight="1">
      <c r="A9" s="17" t="s">
        <v>31</v>
      </c>
      <c r="B9" s="18" t="s">
        <v>32</v>
      </c>
      <c r="C9" s="6"/>
      <c r="D9" s="22" t="s">
        <v>31</v>
      </c>
      <c r="E9" s="6"/>
      <c r="F9" s="6"/>
      <c r="G9" s="25" t="s">
        <v>33</v>
      </c>
      <c r="H9" s="8" t="s">
        <v>34</v>
      </c>
      <c r="I9" s="9" t="s">
        <v>35</v>
      </c>
    </row>
    <row r="10" ht="26.25" customHeight="1">
      <c r="A10" s="17" t="s">
        <v>36</v>
      </c>
      <c r="B10" s="18" t="s">
        <v>37</v>
      </c>
      <c r="C10" s="18" t="s">
        <v>38</v>
      </c>
      <c r="D10" s="19"/>
      <c r="E10" s="6"/>
      <c r="F10" s="6"/>
      <c r="G10" s="14">
        <f>H10+I10</f>
        <v>17</v>
      </c>
      <c r="H10" s="15">
        <f>CEILING(MIN(A2,16)*4.5 + MIN(B2,16)*1 + MIN(C2,16)*6, 1)</f>
        <v>17</v>
      </c>
      <c r="I10" s="16">
        <f>CEILING(MAX(A2-16,0)^2*14 + MAX(C2-16,0)^2*20 + MAX(B2-16,0)^2*2,1)</f>
        <v>0</v>
      </c>
    </row>
    <row r="11" ht="26.25" customHeight="1">
      <c r="A11" s="28"/>
      <c r="B11" s="11" t="s">
        <v>39</v>
      </c>
      <c r="C11" s="11" t="s">
        <v>40</v>
      </c>
      <c r="D11" s="12" t="s">
        <v>41</v>
      </c>
      <c r="E11" s="6"/>
      <c r="F11" s="6"/>
      <c r="G11" s="24" t="s">
        <v>42</v>
      </c>
      <c r="H11" s="8" t="s">
        <v>43</v>
      </c>
      <c r="I11" s="9" t="s">
        <v>44</v>
      </c>
    </row>
    <row r="12" ht="26.25" customHeight="1">
      <c r="A12" s="6"/>
      <c r="B12" s="6"/>
      <c r="C12" s="6"/>
      <c r="D12" s="6"/>
      <c r="E12" s="6"/>
      <c r="F12" s="6"/>
      <c r="G12" s="14">
        <f>H12+I12</f>
        <v>30</v>
      </c>
      <c r="H12" s="15">
        <f>CEILING(MIN(B2,16)*1 + MIN(D2,16)*4.5 + MIN(C2,16)*6, 1)</f>
        <v>30</v>
      </c>
      <c r="I12" s="16">
        <f>CEILING(MAX(D2-16,0)^2*14 + MAX(C2-16,0)^2*20 + MAX(B2-16,0)^2*2,1)</f>
        <v>0</v>
      </c>
    </row>
    <row r="13" ht="26.25" customHeight="1">
      <c r="A13" s="31" t="s">
        <v>45</v>
      </c>
      <c r="B13" s="31" t="s">
        <v>46</v>
      </c>
      <c r="C13" s="31" t="s">
        <v>47</v>
      </c>
      <c r="D13" s="31" t="s">
        <v>48</v>
      </c>
      <c r="E13" s="6"/>
      <c r="F13" s="6"/>
      <c r="G13" s="32" t="s">
        <v>49</v>
      </c>
      <c r="H13" s="8" t="s">
        <v>50</v>
      </c>
      <c r="I13" s="33"/>
    </row>
    <row r="14" ht="26.25" customHeight="1">
      <c r="A14" s="39">
        <v>1.0</v>
      </c>
      <c r="B14" s="34" t="s">
        <v>51</v>
      </c>
      <c r="C14" s="39">
        <v>10.0</v>
      </c>
      <c r="D14" s="39">
        <v>5.0</v>
      </c>
      <c r="E14" s="6"/>
      <c r="F14" s="6"/>
      <c r="G14" s="14">
        <f>H14</f>
        <v>35</v>
      </c>
      <c r="H14" s="15">
        <f>5 + CEILING(MIN(B2,20)*5, 1)</f>
        <v>35</v>
      </c>
      <c r="I14" s="16"/>
    </row>
    <row r="15" ht="26.25" customHeight="1">
      <c r="A15" s="70">
        <v>2.0</v>
      </c>
      <c r="B15" s="39">
        <v>1.0</v>
      </c>
      <c r="C15" s="39">
        <v>11.0</v>
      </c>
      <c r="D15" s="39">
        <v>6.0</v>
      </c>
      <c r="E15" s="6"/>
      <c r="F15" s="6"/>
      <c r="G15" s="32" t="s">
        <v>52</v>
      </c>
      <c r="H15" s="8" t="s">
        <v>53</v>
      </c>
      <c r="I15" s="9" t="s">
        <v>54</v>
      </c>
    </row>
    <row r="16" ht="26.25" customHeight="1">
      <c r="A16" s="39">
        <v>3.0</v>
      </c>
      <c r="B16" s="39">
        <v>1.0</v>
      </c>
      <c r="C16" s="39">
        <v>12.0</v>
      </c>
      <c r="D16" s="39">
        <v>7.0</v>
      </c>
      <c r="E16" s="6"/>
      <c r="F16" s="6"/>
      <c r="G16" s="14">
        <f>H16+I16</f>
        <v>190</v>
      </c>
      <c r="H16" s="15">
        <f> 150 + CEILING(MIN(A2,16)*2 + MIN(D2,16)*2 + MIN(B2,16)*5, 1)</f>
        <v>190</v>
      </c>
      <c r="I16" s="16">
        <f>CEILING(MAX(A2-16,0)^2*(3+(1/3)) + MAX(D2-16,0)^2*(3+(1/3)) + MAX(B2-16,0)^2*(8+(1/3)),1)</f>
        <v>0</v>
      </c>
    </row>
    <row r="17" ht="26.25" customHeight="1">
      <c r="A17" s="39">
        <v>4.0</v>
      </c>
      <c r="B17" s="39">
        <v>2.0</v>
      </c>
      <c r="C17" s="39">
        <v>14.0</v>
      </c>
      <c r="D17" s="39">
        <v>8.0</v>
      </c>
      <c r="E17" s="6"/>
      <c r="F17" s="6"/>
      <c r="G17" s="24" t="s">
        <v>55</v>
      </c>
      <c r="H17" s="8" t="s">
        <v>56</v>
      </c>
      <c r="I17" s="9" t="s">
        <v>57</v>
      </c>
    </row>
    <row r="18" ht="26.25" customHeight="1">
      <c r="A18" s="39">
        <v>5.0</v>
      </c>
      <c r="B18" s="39">
        <v>1.0</v>
      </c>
      <c r="C18" s="39">
        <v>15.0</v>
      </c>
      <c r="D18" s="39">
        <v>9.0</v>
      </c>
      <c r="E18" s="6"/>
      <c r="F18" s="6"/>
      <c r="G18" s="35">
        <f>H18</f>
        <v>15</v>
      </c>
      <c r="H18" s="36">
        <f>CEILING(MIN(B2,16)*2.5, 1)</f>
        <v>15</v>
      </c>
      <c r="I18" s="37"/>
    </row>
    <row r="19" ht="26.25" customHeight="1">
      <c r="A19" s="39">
        <v>6.0</v>
      </c>
      <c r="B19" s="39">
        <v>2.0</v>
      </c>
      <c r="C19" s="39">
        <v>17.0</v>
      </c>
      <c r="D19" s="39">
        <v>10.0</v>
      </c>
      <c r="E19" s="6"/>
      <c r="F19" s="6"/>
      <c r="G19" s="6"/>
      <c r="H19" s="6"/>
      <c r="I19" s="6"/>
    </row>
    <row r="20" ht="26.25" customHeight="1">
      <c r="A20" s="39">
        <v>7.0</v>
      </c>
      <c r="B20" s="39">
        <v>1.0</v>
      </c>
      <c r="C20" s="39">
        <v>18.0</v>
      </c>
      <c r="D20" s="39">
        <v>11.0</v>
      </c>
      <c r="E20" s="6"/>
      <c r="F20" s="6"/>
      <c r="G20" s="6"/>
      <c r="H20" s="6"/>
      <c r="I20" s="6"/>
    </row>
    <row r="21" ht="26.25" customHeight="1">
      <c r="A21" s="39">
        <v>8.0</v>
      </c>
      <c r="B21" s="39">
        <v>1.0</v>
      </c>
      <c r="C21" s="39">
        <v>19.0</v>
      </c>
      <c r="D21" s="39">
        <v>12.0</v>
      </c>
      <c r="E21" s="6"/>
      <c r="F21" s="6"/>
      <c r="G21" s="6"/>
      <c r="H21" s="6"/>
      <c r="I21" s="6"/>
    </row>
    <row r="22" ht="26.25" customHeight="1">
      <c r="A22" s="39">
        <v>9.0</v>
      </c>
      <c r="B22" s="39">
        <v>2.0</v>
      </c>
      <c r="C22" s="39">
        <v>21.0</v>
      </c>
      <c r="D22" s="39">
        <v>13.0</v>
      </c>
      <c r="E22" s="6"/>
      <c r="F22" s="6"/>
      <c r="G22" s="6"/>
      <c r="H22" s="6"/>
      <c r="I22" s="6"/>
    </row>
    <row r="23" ht="26.25" customHeight="1">
      <c r="A23" s="39">
        <v>10.0</v>
      </c>
      <c r="B23" s="39">
        <v>1.0</v>
      </c>
      <c r="C23" s="39">
        <v>22.0</v>
      </c>
      <c r="D23" s="39">
        <v>14.0</v>
      </c>
      <c r="E23" s="6"/>
      <c r="F23" s="6"/>
      <c r="G23" s="6"/>
      <c r="H23" s="6"/>
      <c r="I23" s="6"/>
    </row>
    <row r="24" ht="26.25" customHeight="1">
      <c r="A24" s="39">
        <v>11.0</v>
      </c>
      <c r="B24" s="39">
        <v>1.0</v>
      </c>
      <c r="C24" s="39">
        <v>23.0</v>
      </c>
      <c r="D24" s="39">
        <v>15.0</v>
      </c>
      <c r="E24" s="6"/>
      <c r="F24" s="6"/>
      <c r="G24" s="6"/>
      <c r="H24" s="6"/>
      <c r="I24" s="6"/>
    </row>
    <row r="25" ht="26.25" customHeight="1">
      <c r="A25" s="39">
        <v>12.0</v>
      </c>
      <c r="B25" s="39">
        <v>2.0</v>
      </c>
      <c r="C25" s="39">
        <v>25.0</v>
      </c>
      <c r="D25" s="39">
        <v>16.0</v>
      </c>
      <c r="E25" s="6"/>
      <c r="F25" s="6"/>
      <c r="G25" s="6"/>
      <c r="H25" s="6"/>
      <c r="I25" s="6"/>
    </row>
    <row r="26" ht="26.25" customHeight="1">
      <c r="A26" s="39">
        <v>13.0</v>
      </c>
      <c r="B26" s="39">
        <v>1.0</v>
      </c>
      <c r="C26" s="39">
        <v>26.0</v>
      </c>
      <c r="D26" s="39">
        <v>16.0</v>
      </c>
      <c r="E26" s="6"/>
      <c r="F26" s="6"/>
      <c r="G26" s="6"/>
      <c r="H26" s="6"/>
      <c r="I26" s="6"/>
    </row>
    <row r="27" ht="26.25" customHeight="1">
      <c r="A27" s="39">
        <v>14.0</v>
      </c>
      <c r="B27" s="39">
        <v>1.0</v>
      </c>
      <c r="C27" s="39">
        <v>27.0</v>
      </c>
      <c r="D27" s="39">
        <v>16.0</v>
      </c>
      <c r="E27" s="6"/>
      <c r="F27" s="6"/>
      <c r="G27" s="6"/>
      <c r="H27" s="6"/>
      <c r="I27" s="6"/>
    </row>
    <row r="28" ht="26.25" customHeight="1">
      <c r="A28" s="39">
        <v>15.0</v>
      </c>
      <c r="B28" s="39">
        <v>2.0</v>
      </c>
      <c r="C28" s="39">
        <v>29.0</v>
      </c>
      <c r="D28" s="39">
        <v>16.0</v>
      </c>
      <c r="E28" s="6"/>
      <c r="F28" s="6"/>
      <c r="G28" s="6"/>
      <c r="H28" s="6"/>
      <c r="I28" s="6"/>
    </row>
    <row r="29" ht="26.25" customHeight="1">
      <c r="A29" s="39">
        <v>16.0</v>
      </c>
      <c r="B29" s="39">
        <v>1.0</v>
      </c>
      <c r="C29" s="39">
        <v>30.0</v>
      </c>
      <c r="D29" s="39">
        <v>16.0</v>
      </c>
      <c r="E29" s="6"/>
      <c r="F29" s="6"/>
      <c r="G29" s="6"/>
      <c r="H29" s="6"/>
      <c r="I29" s="6"/>
    </row>
    <row r="30" ht="26.25" customHeight="1">
      <c r="A30" s="39">
        <v>17.0</v>
      </c>
      <c r="B30" s="39">
        <v>1.0</v>
      </c>
      <c r="C30" s="39">
        <v>31.0</v>
      </c>
      <c r="D30" s="39">
        <v>16.0</v>
      </c>
      <c r="E30" s="6"/>
      <c r="F30" s="6"/>
      <c r="G30" s="6"/>
      <c r="H30" s="6"/>
      <c r="I30" s="6"/>
    </row>
    <row r="31" ht="26.25" customHeight="1">
      <c r="A31" s="39">
        <v>18.0</v>
      </c>
      <c r="B31" s="39">
        <v>2.0</v>
      </c>
      <c r="C31" s="39">
        <v>33.0</v>
      </c>
      <c r="D31" s="39">
        <v>16.0</v>
      </c>
      <c r="E31" s="6"/>
      <c r="F31" s="6"/>
      <c r="G31" s="6"/>
      <c r="H31" s="6"/>
      <c r="I31" s="6"/>
    </row>
    <row r="32" ht="26.25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26.25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26.25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26.25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26.25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26.25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26.25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26.25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26.25" customHeight="1">
      <c r="A40" s="38"/>
      <c r="B40" s="38"/>
      <c r="C40" s="38"/>
      <c r="D40" s="38"/>
      <c r="E40" s="38"/>
      <c r="F40" s="38"/>
      <c r="G40" s="38"/>
      <c r="H40" s="38"/>
      <c r="I40" s="38"/>
    </row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dataValidations>
    <dataValidation type="custom" allowBlank="1" showDropDown="1" sqref="A14:D31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63"/>
    <col customWidth="1" min="3" max="3" width="18.63"/>
    <col customWidth="1" min="4" max="4" width="19.5"/>
    <col customWidth="1" min="5" max="5" width="21.75"/>
    <col customWidth="1" min="6" max="6" width="36.75"/>
    <col customWidth="1" min="7" max="7" width="33.63"/>
    <col customWidth="1" min="8" max="26" width="18.63"/>
  </cols>
  <sheetData>
    <row r="1" ht="30.0" customHeight="1">
      <c r="A1" s="40" t="s">
        <v>58</v>
      </c>
      <c r="B1" s="34" t="s">
        <v>59</v>
      </c>
      <c r="C1" s="34" t="s">
        <v>60</v>
      </c>
      <c r="D1" s="34" t="s">
        <v>61</v>
      </c>
      <c r="E1" s="34" t="s">
        <v>141</v>
      </c>
      <c r="F1" s="41" t="s">
        <v>63</v>
      </c>
      <c r="G1" s="34" t="s">
        <v>64</v>
      </c>
      <c r="H1" s="42" t="s">
        <v>65</v>
      </c>
      <c r="K1" s="43" t="s">
        <v>66</v>
      </c>
      <c r="L1" s="43" t="s">
        <v>67</v>
      </c>
      <c r="M1" s="43" t="s">
        <v>68</v>
      </c>
    </row>
    <row r="2" ht="30.0" customHeight="1">
      <c r="A2" s="47" t="s">
        <v>5</v>
      </c>
      <c r="B2" s="48">
        <f>'Stats Steph'!G2</f>
        <v>150</v>
      </c>
      <c r="C2" s="49"/>
      <c r="D2" s="48">
        <f t="shared" ref="D2:D3" si="1">B2+C2</f>
        <v>150</v>
      </c>
      <c r="E2" s="39">
        <v>150.0</v>
      </c>
      <c r="F2" s="34">
        <v>150.0</v>
      </c>
      <c r="G2" s="34" t="s">
        <v>72</v>
      </c>
      <c r="H2" s="50" t="b">
        <v>0</v>
      </c>
      <c r="K2" s="44" t="b">
        <v>1</v>
      </c>
      <c r="L2" s="44" t="s">
        <v>204</v>
      </c>
      <c r="M2" s="51">
        <v>87.0</v>
      </c>
    </row>
    <row r="3" ht="30.0" customHeight="1">
      <c r="A3" s="52" t="s">
        <v>11</v>
      </c>
      <c r="B3" s="48">
        <f>'Stats Steph'!G4</f>
        <v>460</v>
      </c>
      <c r="C3" s="49"/>
      <c r="D3" s="48">
        <f t="shared" si="1"/>
        <v>460</v>
      </c>
      <c r="E3" s="39">
        <v>345.0</v>
      </c>
      <c r="F3" s="34">
        <v>345.0</v>
      </c>
      <c r="G3" s="34" t="s">
        <v>79</v>
      </c>
      <c r="H3" s="50" t="b">
        <v>0</v>
      </c>
      <c r="K3" s="44" t="s">
        <v>80</v>
      </c>
      <c r="L3" s="44" t="s">
        <v>205</v>
      </c>
    </row>
    <row r="4" ht="30.0" customHeight="1">
      <c r="A4" s="53" t="s">
        <v>85</v>
      </c>
      <c r="B4" s="48"/>
      <c r="C4" s="49"/>
      <c r="D4" s="48"/>
      <c r="E4" s="39">
        <v>0.0</v>
      </c>
      <c r="F4" s="34">
        <v>0.0</v>
      </c>
      <c r="G4" s="34" t="s">
        <v>86</v>
      </c>
      <c r="H4" s="50" t="b">
        <v>0</v>
      </c>
      <c r="K4" s="44">
        <v>2.0</v>
      </c>
      <c r="L4" s="44">
        <v>1.0</v>
      </c>
    </row>
    <row r="5" ht="30.0" customHeight="1">
      <c r="A5" s="49"/>
      <c r="B5" s="48"/>
      <c r="C5" s="49"/>
      <c r="D5" s="48"/>
      <c r="E5" s="48"/>
      <c r="F5" s="34"/>
      <c r="G5" s="34" t="s">
        <v>140</v>
      </c>
      <c r="H5" s="50" t="b">
        <v>0</v>
      </c>
      <c r="K5" s="44" t="s">
        <v>230</v>
      </c>
      <c r="M5" s="44" t="s">
        <v>231</v>
      </c>
    </row>
    <row r="6" ht="30.0" customHeight="1">
      <c r="A6" s="54" t="s">
        <v>20</v>
      </c>
      <c r="B6" s="48">
        <f>'Stats Steph'!G6</f>
        <v>85</v>
      </c>
      <c r="C6" s="49"/>
      <c r="D6" s="48">
        <f t="shared" ref="D6:D7" si="2">B6+C6</f>
        <v>85</v>
      </c>
      <c r="E6" s="39">
        <v>75.0</v>
      </c>
      <c r="F6" s="34">
        <v>75.0</v>
      </c>
      <c r="G6" s="34" t="s">
        <v>88</v>
      </c>
      <c r="H6" s="50" t="b">
        <v>0</v>
      </c>
      <c r="J6" s="100" t="s">
        <v>232</v>
      </c>
      <c r="K6" s="101">
        <v>3.0</v>
      </c>
    </row>
    <row r="7" ht="30.0" customHeight="1">
      <c r="A7" s="55" t="s">
        <v>27</v>
      </c>
      <c r="B7" s="48">
        <f>'Stats Steph'!G8</f>
        <v>145</v>
      </c>
      <c r="C7" s="49"/>
      <c r="D7" s="48">
        <f t="shared" si="2"/>
        <v>145</v>
      </c>
      <c r="E7" s="39">
        <v>145.0</v>
      </c>
      <c r="F7" s="34">
        <v>145.0</v>
      </c>
      <c r="G7" s="34" t="s">
        <v>89</v>
      </c>
      <c r="H7" s="50" t="b">
        <v>0</v>
      </c>
    </row>
    <row r="8" ht="30.0" customHeight="1">
      <c r="A8" s="49"/>
      <c r="B8" s="48"/>
      <c r="C8" s="49"/>
      <c r="D8" s="48"/>
      <c r="E8" s="48"/>
      <c r="F8" s="34"/>
      <c r="G8" s="34" t="s">
        <v>90</v>
      </c>
      <c r="H8" s="50" t="b">
        <v>0</v>
      </c>
    </row>
    <row r="9" ht="30.0" customHeight="1">
      <c r="A9" s="56" t="s">
        <v>33</v>
      </c>
      <c r="B9" s="48">
        <f>'Stats Steph'!G10</f>
        <v>17</v>
      </c>
      <c r="C9" s="49"/>
      <c r="D9" s="48">
        <f t="shared" ref="D9:D10" si="3">B9+C9</f>
        <v>17</v>
      </c>
      <c r="E9" s="39">
        <v>17.0</v>
      </c>
      <c r="F9" s="34">
        <v>17.0</v>
      </c>
      <c r="G9" s="34" t="s">
        <v>91</v>
      </c>
      <c r="H9" s="50" t="b">
        <v>0</v>
      </c>
    </row>
    <row r="10" ht="30.0" customHeight="1">
      <c r="A10" s="57" t="s">
        <v>92</v>
      </c>
      <c r="B10" s="48">
        <f>'Stats Steph'!G12</f>
        <v>30</v>
      </c>
      <c r="C10" s="49"/>
      <c r="D10" s="48">
        <f t="shared" si="3"/>
        <v>30</v>
      </c>
      <c r="E10" s="39">
        <v>30.0</v>
      </c>
      <c r="F10" s="34">
        <v>30.0</v>
      </c>
      <c r="G10" s="34" t="s">
        <v>93</v>
      </c>
      <c r="H10" s="50" t="b">
        <v>0</v>
      </c>
    </row>
    <row r="11" ht="30.0" customHeight="1">
      <c r="A11" s="49"/>
      <c r="B11" s="48"/>
      <c r="C11" s="49"/>
      <c r="D11" s="48"/>
      <c r="E11" s="48"/>
      <c r="F11" s="34"/>
      <c r="G11" s="34" t="s">
        <v>94</v>
      </c>
      <c r="H11" s="59" t="b">
        <v>0</v>
      </c>
    </row>
    <row r="12" ht="30.0" customHeight="1">
      <c r="A12" s="60" t="s">
        <v>95</v>
      </c>
      <c r="B12" s="48">
        <f>'Stats Steph'!G14</f>
        <v>35</v>
      </c>
      <c r="C12" s="49"/>
      <c r="D12" s="48">
        <f t="shared" ref="D12:D13" si="4">B12+C12</f>
        <v>35</v>
      </c>
      <c r="E12" s="39">
        <v>35.0</v>
      </c>
      <c r="F12" s="34">
        <v>35.0</v>
      </c>
      <c r="G12" s="34" t="s">
        <v>96</v>
      </c>
      <c r="H12" s="59" t="b">
        <v>0</v>
      </c>
    </row>
    <row r="13" ht="30.0" customHeight="1">
      <c r="A13" s="60" t="s">
        <v>97</v>
      </c>
      <c r="B13" s="48">
        <f>'Stats Steph'!G16</f>
        <v>190</v>
      </c>
      <c r="C13" s="49"/>
      <c r="D13" s="48">
        <f t="shared" si="4"/>
        <v>190</v>
      </c>
      <c r="E13" s="39">
        <v>190.0</v>
      </c>
      <c r="F13" s="34"/>
      <c r="G13" s="34" t="s">
        <v>98</v>
      </c>
      <c r="H13" s="59" t="b">
        <v>0</v>
      </c>
    </row>
    <row r="14" ht="30.0" customHeight="1">
      <c r="A14" s="34" t="s">
        <v>99</v>
      </c>
      <c r="B14" s="34" t="s">
        <v>100</v>
      </c>
      <c r="C14" s="34" t="s">
        <v>101</v>
      </c>
      <c r="D14" s="34" t="s">
        <v>144</v>
      </c>
      <c r="E14" s="34" t="s">
        <v>103</v>
      </c>
      <c r="F14" s="31">
        <v>0.0</v>
      </c>
      <c r="G14" s="34" t="s">
        <v>104</v>
      </c>
      <c r="H14" s="50" t="b">
        <v>0</v>
      </c>
    </row>
    <row r="15" ht="30.0" customHeight="1">
      <c r="A15" s="54" t="s">
        <v>105</v>
      </c>
      <c r="B15" s="48"/>
      <c r="C15" s="49"/>
      <c r="D15" s="48">
        <f t="shared" ref="D15:D17" si="5">B15+C15</f>
        <v>0</v>
      </c>
      <c r="E15" s="39">
        <v>0.0</v>
      </c>
      <c r="F15" s="34"/>
      <c r="G15" s="34" t="s">
        <v>106</v>
      </c>
      <c r="H15" s="50" t="b">
        <v>0</v>
      </c>
    </row>
    <row r="16" ht="30.0" customHeight="1">
      <c r="A16" s="55" t="s">
        <v>107</v>
      </c>
      <c r="B16" s="48">
        <f>'Stats Steph'!G18</f>
        <v>15</v>
      </c>
      <c r="C16" s="49"/>
      <c r="D16" s="48">
        <f t="shared" si="5"/>
        <v>15</v>
      </c>
      <c r="E16" s="39">
        <v>15.0</v>
      </c>
      <c r="F16" s="34"/>
      <c r="G16" s="34" t="s">
        <v>108</v>
      </c>
      <c r="H16" s="50" t="b">
        <v>0</v>
      </c>
    </row>
    <row r="17" ht="30.0" customHeight="1">
      <c r="A17" s="61" t="s">
        <v>109</v>
      </c>
      <c r="B17" s="48"/>
      <c r="C17" s="49"/>
      <c r="D17" s="48">
        <f t="shared" si="5"/>
        <v>0</v>
      </c>
      <c r="E17" s="39">
        <v>0.0</v>
      </c>
      <c r="F17" s="62"/>
      <c r="G17" s="62"/>
      <c r="H17" s="59"/>
    </row>
    <row r="18" ht="30.0" customHeight="1">
      <c r="A18" s="38"/>
      <c r="B18" s="38"/>
      <c r="C18" s="38"/>
      <c r="D18" s="38"/>
      <c r="E18" s="38"/>
      <c r="F18" s="38"/>
      <c r="G18" s="38"/>
    </row>
    <row r="19" ht="30.0" customHeight="1">
      <c r="A19" s="63"/>
      <c r="B19" s="38"/>
      <c r="C19" s="38"/>
      <c r="D19" s="38"/>
      <c r="E19" s="38"/>
      <c r="F19" s="38"/>
      <c r="G19" s="38"/>
    </row>
    <row r="20" ht="30.0" customHeight="1">
      <c r="A20" s="63"/>
      <c r="B20" s="38"/>
      <c r="C20" s="38"/>
      <c r="D20" s="38"/>
      <c r="E20" s="38"/>
      <c r="F20" s="38"/>
      <c r="G20" s="38"/>
    </row>
    <row r="21" ht="30.0" customHeight="1">
      <c r="A21" s="38"/>
      <c r="D21" s="38"/>
      <c r="E21" s="38"/>
      <c r="F21" s="38"/>
      <c r="G21" s="38"/>
    </row>
    <row r="22" ht="30.0" customHeight="1">
      <c r="A22" s="38"/>
      <c r="B22" s="38"/>
      <c r="C22" s="38"/>
      <c r="D22" s="38"/>
      <c r="E22" s="38"/>
      <c r="G22" s="38"/>
    </row>
    <row r="23" ht="30.0" customHeight="1">
      <c r="A23" s="66"/>
      <c r="B23" s="58"/>
      <c r="C23" s="58"/>
      <c r="D23" s="58"/>
      <c r="E23" s="38"/>
      <c r="F23" s="38"/>
      <c r="G23" s="38"/>
    </row>
    <row r="24" ht="30.0" customHeight="1">
      <c r="A24" s="66" t="s">
        <v>112</v>
      </c>
      <c r="B24" s="67" t="s">
        <v>113</v>
      </c>
      <c r="C24" s="67" t="s">
        <v>114</v>
      </c>
      <c r="D24" s="67" t="s">
        <v>115</v>
      </c>
      <c r="E24" s="42" t="s">
        <v>116</v>
      </c>
      <c r="F24" s="38"/>
    </row>
    <row r="25" ht="30.0" customHeight="1">
      <c r="B25" s="68" t="s">
        <v>117</v>
      </c>
      <c r="C25" s="69" t="s">
        <v>233</v>
      </c>
      <c r="D25" s="50">
        <v>1.0</v>
      </c>
      <c r="E25" s="62"/>
      <c r="F25" s="38"/>
    </row>
    <row r="26" ht="30.0" customHeight="1">
      <c r="B26" s="68" t="s">
        <v>117</v>
      </c>
      <c r="C26" s="69" t="s">
        <v>73</v>
      </c>
      <c r="D26" s="50">
        <v>1.0</v>
      </c>
      <c r="E26" s="62"/>
      <c r="F26" s="38"/>
    </row>
    <row r="27" ht="30.0" customHeight="1">
      <c r="B27" s="68" t="s">
        <v>120</v>
      </c>
      <c r="C27" s="69" t="s">
        <v>121</v>
      </c>
      <c r="D27" s="50">
        <v>0.0</v>
      </c>
      <c r="E27" s="50" t="s">
        <v>122</v>
      </c>
    </row>
    <row r="28" ht="30.0" customHeight="1">
      <c r="B28" s="68" t="s">
        <v>120</v>
      </c>
      <c r="C28" s="69" t="s">
        <v>123</v>
      </c>
      <c r="D28" s="50">
        <v>1.0</v>
      </c>
      <c r="E28" s="50" t="s">
        <v>124</v>
      </c>
      <c r="F28" s="38"/>
    </row>
    <row r="29" ht="30.0" customHeight="1">
      <c r="B29" s="68" t="s">
        <v>129</v>
      </c>
      <c r="C29" s="69" t="s">
        <v>131</v>
      </c>
      <c r="D29" s="50">
        <v>0.0</v>
      </c>
      <c r="E29" s="50"/>
      <c r="F29" s="38"/>
    </row>
    <row r="30" ht="30.0" customHeight="1">
      <c r="A30" s="38"/>
      <c r="B30" s="68" t="s">
        <v>129</v>
      </c>
      <c r="C30" s="69" t="s">
        <v>234</v>
      </c>
      <c r="D30" s="50">
        <v>1.0</v>
      </c>
      <c r="E30" s="50" t="s">
        <v>133</v>
      </c>
      <c r="F30" s="38"/>
    </row>
    <row r="31" ht="30.0" customHeight="1">
      <c r="A31" s="38"/>
      <c r="B31" s="68" t="s">
        <v>129</v>
      </c>
      <c r="C31" s="69" t="s">
        <v>235</v>
      </c>
      <c r="D31" s="50">
        <v>1.0</v>
      </c>
      <c r="E31" s="50" t="s">
        <v>135</v>
      </c>
      <c r="F31" s="38"/>
    </row>
    <row r="32" ht="30.0" customHeight="1">
      <c r="A32" s="38"/>
      <c r="B32" s="68" t="s">
        <v>129</v>
      </c>
      <c r="C32" s="69" t="s">
        <v>236</v>
      </c>
      <c r="D32" s="50">
        <v>1.0</v>
      </c>
      <c r="E32" s="50" t="s">
        <v>137</v>
      </c>
      <c r="F32" s="38"/>
    </row>
    <row r="33" ht="30.0" customHeight="1">
      <c r="A33" s="38"/>
      <c r="B33" s="68" t="s">
        <v>117</v>
      </c>
      <c r="C33" s="69" t="s">
        <v>237</v>
      </c>
      <c r="D33" s="50">
        <v>1.0</v>
      </c>
      <c r="E33" s="50"/>
      <c r="F33" s="38"/>
    </row>
    <row r="34" ht="30.0" customHeight="1">
      <c r="A34" s="38"/>
      <c r="B34" s="68" t="s">
        <v>117</v>
      </c>
      <c r="C34" s="69" t="s">
        <v>238</v>
      </c>
      <c r="D34" s="50">
        <v>1.0</v>
      </c>
      <c r="E34" s="50"/>
      <c r="F34" s="38"/>
      <c r="G34" s="38"/>
    </row>
    <row r="35" ht="30.0" customHeight="1">
      <c r="A35" s="38"/>
      <c r="B35" s="102" t="s">
        <v>120</v>
      </c>
      <c r="C35" s="103" t="s">
        <v>239</v>
      </c>
      <c r="D35" s="104">
        <v>2.0</v>
      </c>
      <c r="E35" s="104"/>
      <c r="F35" s="38"/>
      <c r="G35" s="38"/>
    </row>
    <row r="36" ht="30.0" customHeight="1">
      <c r="A36" s="38"/>
      <c r="B36" s="102" t="s">
        <v>120</v>
      </c>
      <c r="C36" s="105" t="s">
        <v>240</v>
      </c>
      <c r="D36" s="104">
        <v>1.0</v>
      </c>
      <c r="E36" s="104"/>
      <c r="F36" s="38"/>
      <c r="G36" s="38"/>
    </row>
    <row r="37" ht="30.0" customHeight="1">
      <c r="A37" s="38"/>
      <c r="B37" s="38"/>
      <c r="C37" s="38"/>
      <c r="D37" s="38"/>
      <c r="E37" s="38"/>
      <c r="F37" s="38"/>
      <c r="G37" s="38"/>
    </row>
    <row r="38" ht="30.0" customHeight="1">
      <c r="A38" s="38"/>
      <c r="B38" s="38"/>
      <c r="C38" s="38"/>
      <c r="D38" s="38"/>
      <c r="E38" s="38"/>
      <c r="F38" s="38"/>
      <c r="G38" s="38"/>
    </row>
    <row r="39" ht="30.0" customHeight="1">
      <c r="A39" s="38"/>
      <c r="B39" s="38"/>
      <c r="C39" s="38"/>
      <c r="D39" s="38"/>
      <c r="E39" s="38"/>
      <c r="F39" s="38"/>
      <c r="G39" s="38"/>
    </row>
    <row r="40" ht="30.0" customHeight="1">
      <c r="A40" s="38"/>
      <c r="B40" s="38"/>
      <c r="C40" s="38"/>
      <c r="D40" s="38"/>
      <c r="E40" s="38"/>
      <c r="F40" s="38"/>
      <c r="G40" s="38"/>
    </row>
    <row r="41" ht="30.0" customHeight="1">
      <c r="B41" s="38"/>
      <c r="C41" s="38"/>
      <c r="D41" s="38"/>
      <c r="E41" s="38"/>
    </row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dataValidations>
    <dataValidation type="custom" allowBlank="1" showDropDown="1" sqref="B2:B17 D2:E1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3.38"/>
  </cols>
  <sheetData>
    <row r="1" ht="26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/>
      <c r="G1" s="7" t="s">
        <v>5</v>
      </c>
      <c r="H1" s="8" t="s">
        <v>6</v>
      </c>
      <c r="I1" s="9" t="s">
        <v>7</v>
      </c>
    </row>
    <row r="2" ht="26.25" customHeight="1">
      <c r="A2" s="10">
        <v>5.0</v>
      </c>
      <c r="B2" s="11">
        <v>4.0</v>
      </c>
      <c r="C2" s="11">
        <v>3.0</v>
      </c>
      <c r="D2" s="12">
        <v>0.0</v>
      </c>
      <c r="E2" s="35">
        <f>SUM(A2:D2)</f>
        <v>12</v>
      </c>
      <c r="F2" s="6"/>
      <c r="G2" s="14">
        <f>H2+I2</f>
        <v>520</v>
      </c>
      <c r="H2" s="15">
        <f> 10 + CEILING(MIN(A2,16)*75 + MIN(D2,16)*5 + MIN(C2,16)*45, 1)</f>
        <v>520</v>
      </c>
      <c r="I2" s="16">
        <f>CEILING(MAX(A2-16,0)^2*300 + MAX(D2-16,0)^2*25 + MAX(C2-16,0)^2*175,1)</f>
        <v>0</v>
      </c>
    </row>
    <row r="3" ht="26.25" customHeight="1">
      <c r="A3" s="17" t="s">
        <v>8</v>
      </c>
      <c r="B3" s="18" t="s">
        <v>9</v>
      </c>
      <c r="C3" s="18" t="s">
        <v>10</v>
      </c>
      <c r="D3" s="19"/>
      <c r="F3" s="6"/>
      <c r="G3" s="20" t="s">
        <v>11</v>
      </c>
      <c r="H3" s="8" t="s">
        <v>12</v>
      </c>
      <c r="I3" s="9" t="s">
        <v>13</v>
      </c>
    </row>
    <row r="4" ht="26.25" customHeight="1">
      <c r="A4" s="21"/>
      <c r="B4" s="18" t="s">
        <v>14</v>
      </c>
      <c r="C4" s="18" t="s">
        <v>15</v>
      </c>
      <c r="D4" s="22" t="s">
        <v>16</v>
      </c>
      <c r="F4" s="6"/>
      <c r="G4" s="14">
        <f>H4+I4</f>
        <v>180</v>
      </c>
      <c r="H4" s="15">
        <f> 10 + CEILING(MIN(B2,16)*20 + MIN(D2,16)*75 + MIN(C2,16)*30, 1)</f>
        <v>180</v>
      </c>
      <c r="I4" s="16">
        <f>CEILING(MAX(D2-16,0)^2*300 + MAX(B2-16,0)^2*80 + MAX(C2-16,0)^2*120,1)</f>
        <v>0</v>
      </c>
    </row>
    <row r="5" ht="26.25" customHeight="1">
      <c r="A5" s="17" t="s">
        <v>17</v>
      </c>
      <c r="B5" s="6"/>
      <c r="C5" s="18" t="s">
        <v>18</v>
      </c>
      <c r="D5" s="22" t="s">
        <v>19</v>
      </c>
      <c r="E5" s="6"/>
      <c r="F5" s="6"/>
      <c r="G5" s="23" t="s">
        <v>20</v>
      </c>
      <c r="H5" s="8" t="s">
        <v>21</v>
      </c>
      <c r="I5" s="9" t="s">
        <v>22</v>
      </c>
    </row>
    <row r="6" ht="26.25" customHeight="1">
      <c r="A6" s="21"/>
      <c r="B6" s="18" t="s">
        <v>23</v>
      </c>
      <c r="C6" s="18" t="s">
        <v>24</v>
      </c>
      <c r="D6" s="22" t="s">
        <v>25</v>
      </c>
      <c r="E6" s="18" t="s">
        <v>241</v>
      </c>
      <c r="F6" s="18">
        <v>0.0</v>
      </c>
      <c r="G6" s="14">
        <f>H6+I6</f>
        <v>155</v>
      </c>
      <c r="H6" s="15">
        <f> CEILING(MIN(A2,16)*20 + MIN(B2,16)*10 + MIN(C2,16)*5, 1)</f>
        <v>155</v>
      </c>
      <c r="I6" s="16">
        <f>CEILING(MAX(A2-16,0)^2*172.5 + MAX(B2-16,0)^2*86.25 + MAX(C2-16,0)^2*28.75,1)</f>
        <v>0</v>
      </c>
    </row>
    <row r="7" ht="26.25" customHeight="1">
      <c r="A7" s="21"/>
      <c r="B7" s="18" t="s">
        <v>26</v>
      </c>
      <c r="C7" s="6"/>
      <c r="D7" s="19"/>
      <c r="E7" s="18" t="s">
        <v>242</v>
      </c>
      <c r="F7" s="18">
        <v>0.0</v>
      </c>
      <c r="G7" s="24" t="s">
        <v>27</v>
      </c>
      <c r="H7" s="8" t="s">
        <v>28</v>
      </c>
      <c r="I7" s="9" t="s">
        <v>29</v>
      </c>
    </row>
    <row r="8" ht="26.25" customHeight="1">
      <c r="A8" s="21"/>
      <c r="B8" s="18" t="s">
        <v>30</v>
      </c>
      <c r="C8" s="6"/>
      <c r="D8" s="19"/>
      <c r="E8" s="6"/>
      <c r="F8" s="6"/>
      <c r="G8" s="14">
        <f>H8+I8</f>
        <v>55</v>
      </c>
      <c r="H8" s="15">
        <f>CEILING(MIN(B2,16)*10 + MIN(D2,16)*20 + MIN(C2,16)*5, 1)</f>
        <v>55</v>
      </c>
      <c r="I8" s="16">
        <f>CEILING(MAX(D2-16,0)^2*172.5 + MAX(B2-16,0)^2*86.25 + MAX(C2-16,0)^2*28.75,1)</f>
        <v>0</v>
      </c>
    </row>
    <row r="9" ht="26.25" customHeight="1">
      <c r="A9" s="17" t="s">
        <v>31</v>
      </c>
      <c r="B9" s="18" t="s">
        <v>32</v>
      </c>
      <c r="C9" s="6"/>
      <c r="D9" s="22" t="s">
        <v>31</v>
      </c>
      <c r="E9" s="6"/>
      <c r="F9" s="6"/>
      <c r="G9" s="25" t="s">
        <v>33</v>
      </c>
      <c r="H9" s="8" t="s">
        <v>34</v>
      </c>
      <c r="I9" s="9" t="s">
        <v>35</v>
      </c>
    </row>
    <row r="10" ht="26.25" customHeight="1">
      <c r="A10" s="17" t="s">
        <v>36</v>
      </c>
      <c r="B10" s="18" t="s">
        <v>37</v>
      </c>
      <c r="C10" s="18" t="s">
        <v>38</v>
      </c>
      <c r="D10" s="19"/>
      <c r="E10" s="18"/>
      <c r="F10" s="6"/>
      <c r="G10" s="14">
        <f>H10+I10</f>
        <v>45</v>
      </c>
      <c r="H10" s="15">
        <f>CEILING(MIN(A2,16)*4.5 + MIN(B2,16)*1 + MIN(C2,16)*6, 1)</f>
        <v>45</v>
      </c>
      <c r="I10" s="16">
        <f>CEILING(MAX(A2-16,0)^2*14 + MAX(C2-16,0)^2*20 + MAX(B2-16,0)^2*2,1)</f>
        <v>0</v>
      </c>
    </row>
    <row r="11" ht="26.25" customHeight="1">
      <c r="A11" s="28"/>
      <c r="B11" s="11" t="s">
        <v>39</v>
      </c>
      <c r="C11" s="11" t="s">
        <v>40</v>
      </c>
      <c r="D11" s="12" t="s">
        <v>41</v>
      </c>
      <c r="E11" s="6"/>
      <c r="F11" s="6"/>
      <c r="G11" s="24" t="s">
        <v>42</v>
      </c>
      <c r="H11" s="8" t="s">
        <v>43</v>
      </c>
      <c r="I11" s="9" t="s">
        <v>44</v>
      </c>
    </row>
    <row r="12" ht="26.25" customHeight="1">
      <c r="A12" s="6"/>
      <c r="B12" s="6"/>
      <c r="C12" s="6"/>
      <c r="D12" s="6"/>
      <c r="E12" s="6"/>
      <c r="F12" s="6"/>
      <c r="G12" s="14">
        <f>H12+I12</f>
        <v>22</v>
      </c>
      <c r="H12" s="15">
        <f>CEILING(MIN(B2,16)*1 + MIN(D2,16)*4.5 + MIN(C2,16)*6, 1)</f>
        <v>22</v>
      </c>
      <c r="I12" s="16">
        <f>CEILING(MAX(D2-16,0)^2*14 + MAX(C2-16,0)^2*20 + MAX(B2-16,0)^2*2,1)</f>
        <v>0</v>
      </c>
    </row>
    <row r="13" ht="26.25" customHeight="1">
      <c r="A13" s="31" t="s">
        <v>45</v>
      </c>
      <c r="B13" s="31" t="s">
        <v>46</v>
      </c>
      <c r="C13" s="31" t="s">
        <v>47</v>
      </c>
      <c r="D13" s="31" t="s">
        <v>48</v>
      </c>
      <c r="E13" s="6"/>
      <c r="F13" s="6"/>
      <c r="G13" s="32" t="s">
        <v>49</v>
      </c>
      <c r="H13" s="8" t="s">
        <v>50</v>
      </c>
      <c r="I13" s="33"/>
    </row>
    <row r="14" ht="26.25" customHeight="1">
      <c r="A14" s="39">
        <v>1.0</v>
      </c>
      <c r="B14" s="34" t="s">
        <v>51</v>
      </c>
      <c r="C14" s="39">
        <v>10.0</v>
      </c>
      <c r="D14" s="39">
        <v>5.0</v>
      </c>
      <c r="E14" s="6"/>
      <c r="F14" s="6"/>
      <c r="G14" s="14">
        <f>H14</f>
        <v>25</v>
      </c>
      <c r="H14" s="15">
        <f>5 + CEILING(MIN(B2,20)*5, 1)</f>
        <v>25</v>
      </c>
      <c r="I14" s="16"/>
    </row>
    <row r="15" ht="26.25" customHeight="1">
      <c r="A15" s="39">
        <v>2.0</v>
      </c>
      <c r="B15" s="39">
        <v>1.0</v>
      </c>
      <c r="C15" s="39">
        <v>11.0</v>
      </c>
      <c r="D15" s="39">
        <v>6.0</v>
      </c>
      <c r="E15" s="6"/>
      <c r="F15" s="6"/>
      <c r="G15" s="32" t="s">
        <v>52</v>
      </c>
      <c r="H15" s="8" t="s">
        <v>53</v>
      </c>
      <c r="I15" s="9" t="s">
        <v>54</v>
      </c>
    </row>
    <row r="16" ht="26.25" customHeight="1">
      <c r="A16" s="39">
        <v>3.0</v>
      </c>
      <c r="B16" s="39">
        <v>1.0</v>
      </c>
      <c r="C16" s="39">
        <v>12.0</v>
      </c>
      <c r="D16" s="39">
        <v>7.0</v>
      </c>
      <c r="E16" s="6"/>
      <c r="F16" s="6"/>
      <c r="G16" s="14">
        <f>H16+I16</f>
        <v>180</v>
      </c>
      <c r="H16" s="15">
        <f> 150 + CEILING(MIN(A2,16)*2 + MIN(D2,16)*2 + MIN(B2,16)*5, 1)</f>
        <v>180</v>
      </c>
      <c r="I16" s="16">
        <f>CEILING(MAX(A2-16,0)^2*(3+(1/3)) + MAX(D2-16,0)^2*(3+(1/3)) + MAX(B2-16,0)^2*(8+(1/3)),1)</f>
        <v>0</v>
      </c>
    </row>
    <row r="17" ht="26.25" customHeight="1">
      <c r="A17" s="39">
        <v>4.0</v>
      </c>
      <c r="B17" s="39">
        <v>2.0</v>
      </c>
      <c r="C17" s="39">
        <v>14.0</v>
      </c>
      <c r="D17" s="39">
        <v>8.0</v>
      </c>
      <c r="E17" s="6"/>
      <c r="F17" s="6"/>
      <c r="G17" s="24" t="s">
        <v>55</v>
      </c>
      <c r="H17" s="8" t="s">
        <v>56</v>
      </c>
      <c r="I17" s="9" t="s">
        <v>57</v>
      </c>
    </row>
    <row r="18" ht="26.25" customHeight="1">
      <c r="A18" s="39">
        <v>5.0</v>
      </c>
      <c r="B18" s="39">
        <v>1.0</v>
      </c>
      <c r="C18" s="39">
        <v>15.0</v>
      </c>
      <c r="D18" s="39">
        <v>9.0</v>
      </c>
      <c r="E18" s="6"/>
      <c r="F18" s="6"/>
      <c r="G18" s="35">
        <f>H18</f>
        <v>10</v>
      </c>
      <c r="H18" s="36">
        <f>CEILING(MIN(B2,16)*2.5, 1)</f>
        <v>10</v>
      </c>
      <c r="I18" s="37"/>
    </row>
    <row r="19" ht="26.25" customHeight="1">
      <c r="A19" s="39">
        <v>6.0</v>
      </c>
      <c r="B19" s="39">
        <v>2.0</v>
      </c>
      <c r="C19" s="39">
        <v>17.0</v>
      </c>
      <c r="D19" s="39">
        <v>10.0</v>
      </c>
      <c r="E19" s="6"/>
      <c r="F19" s="6"/>
      <c r="G19" s="6"/>
      <c r="H19" s="6"/>
      <c r="I19" s="6"/>
    </row>
    <row r="20" ht="26.25" customHeight="1">
      <c r="A20" s="39">
        <v>7.0</v>
      </c>
      <c r="B20" s="39">
        <v>1.0</v>
      </c>
      <c r="C20" s="39">
        <v>18.0</v>
      </c>
      <c r="D20" s="39">
        <v>11.0</v>
      </c>
      <c r="E20" s="6"/>
      <c r="F20" s="6"/>
      <c r="G20" s="6"/>
      <c r="H20" s="6"/>
      <c r="I20" s="6"/>
    </row>
    <row r="21" ht="26.25" customHeight="1">
      <c r="A21" s="39">
        <v>8.0</v>
      </c>
      <c r="B21" s="39">
        <v>1.0</v>
      </c>
      <c r="C21" s="39">
        <v>19.0</v>
      </c>
      <c r="D21" s="39">
        <v>12.0</v>
      </c>
      <c r="E21" s="6"/>
      <c r="F21" s="6"/>
      <c r="G21" s="6"/>
      <c r="H21" s="6"/>
      <c r="I21" s="6"/>
    </row>
    <row r="22" ht="26.25" customHeight="1">
      <c r="A22" s="39">
        <v>9.0</v>
      </c>
      <c r="B22" s="39">
        <v>2.0</v>
      </c>
      <c r="C22" s="39">
        <v>21.0</v>
      </c>
      <c r="D22" s="39">
        <v>13.0</v>
      </c>
      <c r="E22" s="6"/>
      <c r="F22" s="6"/>
      <c r="G22" s="6"/>
      <c r="H22" s="6"/>
      <c r="I22" s="6"/>
    </row>
    <row r="23" ht="26.25" customHeight="1">
      <c r="A23" s="39">
        <v>10.0</v>
      </c>
      <c r="B23" s="39">
        <v>1.0</v>
      </c>
      <c r="C23" s="39">
        <v>22.0</v>
      </c>
      <c r="D23" s="39">
        <v>14.0</v>
      </c>
      <c r="E23" s="6"/>
      <c r="F23" s="6"/>
      <c r="G23" s="6"/>
      <c r="H23" s="6"/>
      <c r="I23" s="6"/>
    </row>
    <row r="24" ht="26.25" customHeight="1">
      <c r="A24" s="39">
        <v>11.0</v>
      </c>
      <c r="B24" s="39">
        <v>1.0</v>
      </c>
      <c r="C24" s="39">
        <v>23.0</v>
      </c>
      <c r="D24" s="39">
        <v>15.0</v>
      </c>
      <c r="E24" s="6"/>
      <c r="F24" s="6"/>
      <c r="G24" s="6"/>
      <c r="H24" s="6"/>
      <c r="I24" s="6"/>
    </row>
    <row r="25" ht="26.25" customHeight="1">
      <c r="A25" s="39">
        <v>12.0</v>
      </c>
      <c r="B25" s="39">
        <v>2.0</v>
      </c>
      <c r="C25" s="39">
        <v>25.0</v>
      </c>
      <c r="D25" s="39">
        <v>16.0</v>
      </c>
      <c r="E25" s="6"/>
      <c r="F25" s="6"/>
      <c r="G25" s="6"/>
      <c r="H25" s="6"/>
      <c r="I25" s="6"/>
    </row>
    <row r="26" ht="26.25" customHeight="1">
      <c r="A26" s="39">
        <v>13.0</v>
      </c>
      <c r="B26" s="39">
        <v>1.0</v>
      </c>
      <c r="C26" s="39">
        <v>26.0</v>
      </c>
      <c r="D26" s="39">
        <v>16.0</v>
      </c>
      <c r="E26" s="6"/>
      <c r="F26" s="6"/>
      <c r="G26" s="6"/>
      <c r="H26" s="6"/>
      <c r="I26" s="6"/>
    </row>
    <row r="27" ht="26.25" customHeight="1">
      <c r="A27" s="39">
        <v>14.0</v>
      </c>
      <c r="B27" s="39">
        <v>1.0</v>
      </c>
      <c r="C27" s="39">
        <v>27.0</v>
      </c>
      <c r="D27" s="39">
        <v>16.0</v>
      </c>
      <c r="E27" s="6"/>
      <c r="F27" s="6"/>
      <c r="G27" s="6"/>
      <c r="H27" s="6"/>
      <c r="I27" s="6"/>
    </row>
    <row r="28" ht="26.25" customHeight="1">
      <c r="A28" s="39">
        <v>15.0</v>
      </c>
      <c r="B28" s="39">
        <v>2.0</v>
      </c>
      <c r="C28" s="39">
        <v>29.0</v>
      </c>
      <c r="D28" s="39">
        <v>16.0</v>
      </c>
      <c r="E28" s="6"/>
      <c r="F28" s="6"/>
      <c r="G28" s="6"/>
      <c r="H28" s="6"/>
      <c r="I28" s="6"/>
    </row>
    <row r="29" ht="26.25" customHeight="1">
      <c r="A29" s="39">
        <v>16.0</v>
      </c>
      <c r="B29" s="39">
        <v>1.0</v>
      </c>
      <c r="C29" s="39">
        <v>30.0</v>
      </c>
      <c r="D29" s="39">
        <v>16.0</v>
      </c>
      <c r="E29" s="6"/>
      <c r="F29" s="6"/>
      <c r="G29" s="6"/>
      <c r="H29" s="6"/>
      <c r="I29" s="6"/>
    </row>
    <row r="30" ht="26.25" customHeight="1">
      <c r="A30" s="39">
        <v>17.0</v>
      </c>
      <c r="B30" s="39">
        <v>1.0</v>
      </c>
      <c r="C30" s="39">
        <v>31.0</v>
      </c>
      <c r="D30" s="39">
        <v>16.0</v>
      </c>
      <c r="E30" s="6"/>
      <c r="F30" s="6"/>
      <c r="G30" s="6"/>
      <c r="H30" s="6"/>
      <c r="I30" s="6"/>
    </row>
    <row r="31" ht="26.25" customHeight="1">
      <c r="A31" s="39">
        <v>18.0</v>
      </c>
      <c r="B31" s="39">
        <v>2.0</v>
      </c>
      <c r="C31" s="39">
        <v>33.0</v>
      </c>
      <c r="D31" s="39">
        <v>16.0</v>
      </c>
      <c r="E31" s="6"/>
      <c r="F31" s="6"/>
      <c r="G31" s="6"/>
      <c r="H31" s="6"/>
      <c r="I31" s="6"/>
    </row>
    <row r="32" ht="26.25" customHeight="1">
      <c r="A32" s="38"/>
      <c r="B32" s="38"/>
      <c r="C32" s="38"/>
      <c r="D32" s="38"/>
      <c r="E32" s="38"/>
      <c r="F32" s="38"/>
      <c r="G32" s="38"/>
      <c r="H32" s="38"/>
      <c r="I32" s="38"/>
    </row>
    <row r="33" ht="26.25" customHeight="1">
      <c r="A33" s="38"/>
      <c r="B33" s="38"/>
      <c r="C33" s="38"/>
      <c r="D33" s="38"/>
      <c r="E33" s="38"/>
      <c r="F33" s="38"/>
      <c r="G33" s="38"/>
      <c r="H33" s="38"/>
      <c r="I33" s="38"/>
    </row>
    <row r="34" ht="26.25" customHeight="1">
      <c r="A34" s="38"/>
      <c r="B34" s="38"/>
      <c r="C34" s="38"/>
      <c r="D34" s="38"/>
      <c r="E34" s="38"/>
      <c r="F34" s="38"/>
      <c r="G34" s="38"/>
      <c r="H34" s="38"/>
      <c r="I34" s="38"/>
    </row>
    <row r="35" ht="26.25" customHeight="1">
      <c r="A35" s="38"/>
      <c r="B35" s="38"/>
      <c r="C35" s="38"/>
      <c r="D35" s="38"/>
      <c r="E35" s="38"/>
      <c r="F35" s="38"/>
      <c r="G35" s="38"/>
      <c r="H35" s="38"/>
      <c r="I35" s="38"/>
    </row>
    <row r="36" ht="26.25" customHeight="1">
      <c r="A36" s="38"/>
      <c r="B36" s="38"/>
      <c r="C36" s="38"/>
      <c r="D36" s="38"/>
      <c r="E36" s="38"/>
      <c r="F36" s="38"/>
      <c r="G36" s="38"/>
      <c r="H36" s="38"/>
      <c r="I36" s="38"/>
    </row>
    <row r="37" ht="26.25" customHeight="1">
      <c r="A37" s="38"/>
      <c r="B37" s="38"/>
      <c r="C37" s="38"/>
      <c r="D37" s="38"/>
      <c r="E37" s="38"/>
      <c r="F37" s="38"/>
      <c r="G37" s="38"/>
      <c r="H37" s="38"/>
      <c r="I37" s="38"/>
    </row>
    <row r="38" ht="26.25" customHeight="1">
      <c r="A38" s="38"/>
      <c r="B38" s="38"/>
      <c r="C38" s="38"/>
      <c r="D38" s="38"/>
      <c r="E38" s="38"/>
      <c r="F38" s="38"/>
      <c r="G38" s="38"/>
      <c r="H38" s="38"/>
      <c r="I38" s="38"/>
    </row>
    <row r="39" ht="26.25" customHeight="1">
      <c r="A39" s="38"/>
      <c r="B39" s="38"/>
      <c r="C39" s="38"/>
      <c r="D39" s="38"/>
      <c r="E39" s="38"/>
      <c r="F39" s="38"/>
      <c r="G39" s="38"/>
      <c r="H39" s="38"/>
      <c r="I39" s="38"/>
    </row>
    <row r="40" ht="26.25" customHeight="1">
      <c r="A40" s="38"/>
      <c r="B40" s="38"/>
      <c r="C40" s="38"/>
      <c r="D40" s="38"/>
      <c r="E40" s="38"/>
      <c r="F40" s="38"/>
      <c r="G40" s="38"/>
      <c r="H40" s="38"/>
      <c r="I40" s="38"/>
    </row>
    <row r="41" ht="26.25" customHeight="1"/>
    <row r="42" ht="26.25" customHeight="1"/>
    <row r="43" ht="26.25" customHeight="1"/>
    <row r="44" ht="26.25" customHeight="1"/>
    <row r="45" ht="26.25" customHeight="1"/>
    <row r="46" ht="26.25" customHeight="1"/>
    <row r="47" ht="26.25" customHeight="1"/>
    <row r="48" ht="26.25" customHeight="1"/>
    <row r="49" ht="26.25" customHeight="1"/>
    <row r="50" ht="26.25" customHeight="1"/>
    <row r="51" ht="26.25" customHeight="1"/>
    <row r="52" ht="26.25" customHeight="1"/>
    <row r="53" ht="26.25" customHeight="1"/>
    <row r="54" ht="26.25" customHeight="1"/>
    <row r="55" ht="26.25" customHeight="1"/>
    <row r="56" ht="26.25" customHeight="1"/>
    <row r="57" ht="26.25" customHeight="1"/>
    <row r="58" ht="26.25" customHeight="1"/>
    <row r="59" ht="26.25" customHeight="1"/>
    <row r="60" ht="26.25" customHeight="1"/>
    <row r="61" ht="26.25" customHeight="1"/>
    <row r="62" ht="26.25" customHeight="1"/>
    <row r="63" ht="26.25" customHeight="1"/>
    <row r="64" ht="26.25" customHeight="1"/>
    <row r="65" ht="26.25" customHeight="1"/>
    <row r="66" ht="26.25" customHeight="1"/>
    <row r="67" ht="26.25" customHeight="1"/>
    <row r="68" ht="26.25" customHeight="1"/>
    <row r="69" ht="26.25" customHeight="1"/>
    <row r="70" ht="26.25" customHeight="1"/>
    <row r="71" ht="26.25" customHeight="1"/>
    <row r="72" ht="26.25" customHeight="1"/>
    <row r="73" ht="26.25" customHeight="1"/>
    <row r="74" ht="26.25" customHeight="1"/>
    <row r="75" ht="26.25" customHeight="1"/>
    <row r="76" ht="26.25" customHeight="1"/>
    <row r="77" ht="26.25" customHeight="1"/>
    <row r="78" ht="26.25" customHeight="1"/>
    <row r="79" ht="26.25" customHeight="1"/>
    <row r="80" ht="26.25" customHeight="1"/>
    <row r="81" ht="26.25" customHeight="1"/>
    <row r="82" ht="26.25" customHeight="1"/>
    <row r="83" ht="26.25" customHeight="1"/>
    <row r="84" ht="26.25" customHeight="1"/>
    <row r="85" ht="26.25" customHeight="1"/>
    <row r="86" ht="26.25" customHeight="1"/>
    <row r="87" ht="26.25" customHeight="1"/>
    <row r="88" ht="26.25" customHeight="1"/>
    <row r="89" ht="26.25" customHeight="1"/>
    <row r="90" ht="26.25" customHeight="1"/>
    <row r="91" ht="26.25" customHeight="1"/>
    <row r="92" ht="26.25" customHeight="1"/>
    <row r="93" ht="26.25" customHeight="1"/>
    <row r="94" ht="26.25" customHeight="1"/>
    <row r="95" ht="26.25" customHeight="1"/>
    <row r="96" ht="26.25" customHeight="1"/>
    <row r="97" ht="26.25" customHeight="1"/>
    <row r="98" ht="26.25" customHeight="1"/>
    <row r="99" ht="26.25" customHeight="1"/>
    <row r="100" ht="26.25" customHeight="1"/>
    <row r="101" ht="26.25" customHeight="1"/>
    <row r="102" ht="26.25" customHeight="1"/>
    <row r="103" ht="26.25" customHeight="1"/>
    <row r="104" ht="26.25" customHeight="1"/>
    <row r="105" ht="26.25" customHeight="1"/>
    <row r="106" ht="26.25" customHeight="1"/>
    <row r="107" ht="26.25" customHeight="1"/>
    <row r="108" ht="26.25" customHeight="1"/>
    <row r="109" ht="26.25" customHeight="1"/>
    <row r="110" ht="26.25" customHeight="1"/>
    <row r="111" ht="26.25" customHeight="1"/>
    <row r="112" ht="26.25" customHeight="1"/>
    <row r="113" ht="26.25" customHeight="1"/>
    <row r="114" ht="26.25" customHeight="1"/>
    <row r="115" ht="26.25" customHeight="1"/>
    <row r="116" ht="26.25" customHeight="1"/>
    <row r="117" ht="26.25" customHeight="1"/>
    <row r="118" ht="26.25" customHeight="1"/>
    <row r="119" ht="26.25" customHeight="1"/>
    <row r="120" ht="26.25" customHeight="1"/>
    <row r="121" ht="26.25" customHeight="1"/>
    <row r="122" ht="26.25" customHeight="1"/>
    <row r="123" ht="26.25" customHeight="1"/>
    <row r="124" ht="26.25" customHeight="1"/>
    <row r="125" ht="26.25" customHeight="1"/>
    <row r="126" ht="26.25" customHeight="1"/>
    <row r="127" ht="26.25" customHeight="1"/>
    <row r="128" ht="26.25" customHeight="1"/>
    <row r="129" ht="26.25" customHeight="1"/>
    <row r="130" ht="26.25" customHeight="1"/>
    <row r="131" ht="26.25" customHeight="1"/>
    <row r="132" ht="26.25" customHeight="1"/>
    <row r="133" ht="26.25" customHeight="1"/>
    <row r="134" ht="26.25" customHeight="1"/>
    <row r="135" ht="26.25" customHeight="1"/>
    <row r="136" ht="26.25" customHeight="1"/>
    <row r="137" ht="26.25" customHeight="1"/>
    <row r="138" ht="26.25" customHeight="1"/>
    <row r="139" ht="26.25" customHeight="1"/>
    <row r="140" ht="26.25" customHeight="1"/>
    <row r="141" ht="26.25" customHeight="1"/>
    <row r="142" ht="26.25" customHeight="1"/>
    <row r="143" ht="26.25" customHeight="1"/>
    <row r="144" ht="26.25" customHeight="1"/>
    <row r="145" ht="26.25" customHeight="1"/>
    <row r="146" ht="26.25" customHeight="1"/>
    <row r="147" ht="26.25" customHeight="1"/>
    <row r="148" ht="26.25" customHeight="1"/>
    <row r="149" ht="26.25" customHeight="1"/>
    <row r="150" ht="26.25" customHeight="1"/>
    <row r="151" ht="26.25" customHeight="1"/>
    <row r="152" ht="26.25" customHeight="1"/>
    <row r="153" ht="26.25" customHeight="1"/>
    <row r="154" ht="26.25" customHeight="1"/>
    <row r="155" ht="26.25" customHeight="1"/>
    <row r="156" ht="26.25" customHeight="1"/>
    <row r="157" ht="26.25" customHeight="1"/>
    <row r="158" ht="26.25" customHeight="1"/>
    <row r="159" ht="26.25" customHeight="1"/>
    <row r="160" ht="26.25" customHeight="1"/>
    <row r="161" ht="26.25" customHeight="1"/>
    <row r="162" ht="26.25" customHeight="1"/>
    <row r="163" ht="26.25" customHeight="1"/>
    <row r="164" ht="26.25" customHeight="1"/>
    <row r="165" ht="26.25" customHeight="1"/>
    <row r="166" ht="26.25" customHeight="1"/>
    <row r="167" ht="26.25" customHeight="1"/>
    <row r="168" ht="26.25" customHeight="1"/>
    <row r="169" ht="26.25" customHeight="1"/>
    <row r="170" ht="26.25" customHeight="1"/>
    <row r="171" ht="26.25" customHeight="1"/>
    <row r="172" ht="26.25" customHeight="1"/>
    <row r="173" ht="26.25" customHeight="1"/>
    <row r="174" ht="26.25" customHeight="1"/>
    <row r="175" ht="26.25" customHeight="1"/>
    <row r="176" ht="26.25" customHeight="1"/>
    <row r="177" ht="26.25" customHeight="1"/>
    <row r="178" ht="26.25" customHeight="1"/>
    <row r="179" ht="26.25" customHeight="1"/>
    <row r="180" ht="26.25" customHeight="1"/>
    <row r="181" ht="26.25" customHeight="1"/>
    <row r="182" ht="26.25" customHeight="1"/>
    <row r="183" ht="26.25" customHeight="1"/>
    <row r="184" ht="26.25" customHeight="1"/>
    <row r="185" ht="26.25" customHeight="1"/>
    <row r="186" ht="26.25" customHeight="1"/>
    <row r="187" ht="26.25" customHeight="1"/>
    <row r="188" ht="26.25" customHeight="1"/>
    <row r="189" ht="26.25" customHeight="1"/>
    <row r="190" ht="26.25" customHeight="1"/>
    <row r="191" ht="26.25" customHeight="1"/>
    <row r="192" ht="26.25" customHeight="1"/>
    <row r="193" ht="26.25" customHeight="1"/>
    <row r="194" ht="26.25" customHeight="1"/>
    <row r="195" ht="26.25" customHeight="1"/>
    <row r="196" ht="26.25" customHeight="1"/>
    <row r="197" ht="26.25" customHeight="1"/>
    <row r="198" ht="26.25" customHeight="1"/>
    <row r="199" ht="26.25" customHeight="1"/>
    <row r="200" ht="26.25" customHeight="1"/>
    <row r="201" ht="26.25" customHeight="1"/>
    <row r="202" ht="26.25" customHeight="1"/>
    <row r="203" ht="26.25" customHeight="1"/>
    <row r="204" ht="26.25" customHeight="1"/>
    <row r="205" ht="26.25" customHeight="1"/>
    <row r="206" ht="26.25" customHeight="1"/>
    <row r="207" ht="26.25" customHeight="1"/>
    <row r="208" ht="26.25" customHeight="1"/>
    <row r="209" ht="26.25" customHeight="1"/>
    <row r="210" ht="26.25" customHeight="1"/>
    <row r="211" ht="26.25" customHeight="1"/>
    <row r="212" ht="26.25" customHeight="1"/>
    <row r="213" ht="26.25" customHeight="1"/>
    <row r="214" ht="26.25" customHeight="1"/>
    <row r="215" ht="26.25" customHeight="1"/>
    <row r="216" ht="26.25" customHeight="1"/>
    <row r="217" ht="26.25" customHeight="1"/>
    <row r="218" ht="26.25" customHeight="1"/>
    <row r="219" ht="26.25" customHeight="1"/>
    <row r="220" ht="26.25" customHeight="1"/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  <row r="227" ht="26.25" customHeight="1"/>
    <row r="228" ht="26.25" customHeight="1"/>
    <row r="229" ht="26.25" customHeight="1"/>
    <row r="230" ht="26.25" customHeight="1"/>
    <row r="231" ht="26.25" customHeight="1"/>
    <row r="232" ht="26.25" customHeight="1"/>
    <row r="233" ht="26.25" customHeight="1"/>
    <row r="234" ht="26.25" customHeight="1"/>
    <row r="235" ht="26.25" customHeight="1"/>
    <row r="236" ht="26.25" customHeight="1"/>
    <row r="237" ht="26.25" customHeight="1"/>
    <row r="238" ht="26.25" customHeight="1"/>
    <row r="239" ht="26.25" customHeight="1"/>
    <row r="240" ht="26.25" customHeight="1"/>
    <row r="241" ht="26.25" customHeight="1"/>
    <row r="242" ht="26.25" customHeight="1"/>
    <row r="243" ht="26.25" customHeight="1"/>
    <row r="244" ht="26.25" customHeight="1"/>
    <row r="245" ht="26.25" customHeight="1"/>
    <row r="246" ht="26.25" customHeight="1"/>
    <row r="247" ht="26.25" customHeight="1"/>
    <row r="248" ht="26.25" customHeight="1"/>
    <row r="249" ht="26.25" customHeight="1"/>
    <row r="250" ht="26.25" customHeight="1"/>
    <row r="251" ht="26.25" customHeight="1"/>
    <row r="252" ht="26.25" customHeight="1"/>
    <row r="253" ht="26.25" customHeight="1"/>
    <row r="254" ht="26.25" customHeight="1"/>
    <row r="255" ht="26.25" customHeight="1"/>
    <row r="256" ht="26.25" customHeight="1"/>
    <row r="257" ht="26.25" customHeight="1"/>
    <row r="258" ht="26.25" customHeight="1"/>
    <row r="259" ht="26.25" customHeight="1"/>
    <row r="260" ht="26.25" customHeight="1"/>
    <row r="261" ht="26.25" customHeight="1"/>
    <row r="262" ht="26.25" customHeight="1"/>
    <row r="263" ht="26.25" customHeight="1"/>
    <row r="264" ht="26.25" customHeight="1"/>
    <row r="265" ht="26.25" customHeight="1"/>
    <row r="266" ht="26.25" customHeight="1"/>
    <row r="267" ht="26.25" customHeight="1"/>
    <row r="268" ht="26.25" customHeight="1"/>
    <row r="269" ht="26.25" customHeight="1"/>
    <row r="270" ht="26.25" customHeight="1"/>
    <row r="271" ht="26.25" customHeight="1"/>
    <row r="272" ht="26.25" customHeight="1"/>
    <row r="273" ht="26.25" customHeight="1"/>
    <row r="274" ht="26.25" customHeight="1"/>
    <row r="275" ht="26.25" customHeight="1"/>
    <row r="276" ht="26.25" customHeight="1"/>
    <row r="277" ht="26.25" customHeight="1"/>
    <row r="278" ht="26.25" customHeight="1"/>
    <row r="279" ht="26.25" customHeight="1"/>
    <row r="280" ht="26.25" customHeight="1"/>
    <row r="281" ht="26.25" customHeight="1"/>
    <row r="282" ht="26.25" customHeight="1"/>
    <row r="283" ht="26.25" customHeight="1"/>
    <row r="284" ht="26.25" customHeight="1"/>
    <row r="285" ht="26.25" customHeight="1"/>
    <row r="286" ht="26.25" customHeight="1"/>
    <row r="287" ht="26.25" customHeight="1"/>
    <row r="288" ht="26.25" customHeight="1"/>
    <row r="289" ht="26.25" customHeight="1"/>
    <row r="290" ht="26.25" customHeight="1"/>
    <row r="291" ht="26.25" customHeight="1"/>
    <row r="292" ht="26.25" customHeight="1"/>
    <row r="293" ht="26.25" customHeight="1"/>
    <row r="294" ht="26.25" customHeight="1"/>
    <row r="295" ht="26.25" customHeight="1"/>
    <row r="296" ht="26.25" customHeight="1"/>
    <row r="297" ht="26.25" customHeight="1"/>
    <row r="298" ht="26.25" customHeight="1"/>
    <row r="299" ht="26.25" customHeight="1"/>
    <row r="300" ht="26.25" customHeight="1"/>
    <row r="301" ht="26.25" customHeight="1"/>
    <row r="302" ht="26.25" customHeight="1"/>
    <row r="303" ht="26.25" customHeight="1"/>
    <row r="304" ht="26.25" customHeight="1"/>
    <row r="305" ht="26.25" customHeight="1"/>
    <row r="306" ht="26.25" customHeight="1"/>
    <row r="307" ht="26.25" customHeight="1"/>
    <row r="308" ht="26.25" customHeight="1"/>
    <row r="309" ht="26.25" customHeight="1"/>
    <row r="310" ht="26.25" customHeight="1"/>
    <row r="311" ht="26.25" customHeight="1"/>
    <row r="312" ht="26.25" customHeight="1"/>
    <row r="313" ht="26.25" customHeight="1"/>
    <row r="314" ht="26.25" customHeight="1"/>
    <row r="315" ht="26.25" customHeight="1"/>
    <row r="316" ht="26.25" customHeight="1"/>
    <row r="317" ht="26.25" customHeight="1"/>
    <row r="318" ht="26.25" customHeight="1"/>
    <row r="319" ht="26.25" customHeight="1"/>
    <row r="320" ht="26.25" customHeight="1"/>
    <row r="321" ht="26.25" customHeight="1"/>
    <row r="322" ht="26.25" customHeight="1"/>
    <row r="323" ht="26.25" customHeight="1"/>
    <row r="324" ht="26.25" customHeight="1"/>
    <row r="325" ht="26.25" customHeight="1"/>
    <row r="326" ht="26.25" customHeight="1"/>
    <row r="327" ht="26.25" customHeight="1"/>
    <row r="328" ht="26.25" customHeight="1"/>
    <row r="329" ht="26.25" customHeight="1"/>
    <row r="330" ht="26.25" customHeight="1"/>
    <row r="331" ht="26.25" customHeight="1"/>
    <row r="332" ht="26.25" customHeight="1"/>
    <row r="333" ht="26.25" customHeight="1"/>
    <row r="334" ht="26.25" customHeight="1"/>
    <row r="335" ht="26.25" customHeight="1"/>
    <row r="336" ht="26.25" customHeight="1"/>
    <row r="337" ht="26.25" customHeight="1"/>
    <row r="338" ht="26.25" customHeight="1"/>
    <row r="339" ht="26.25" customHeight="1"/>
    <row r="340" ht="26.25" customHeight="1"/>
    <row r="341" ht="26.25" customHeight="1"/>
    <row r="342" ht="26.25" customHeight="1"/>
    <row r="343" ht="26.25" customHeight="1"/>
    <row r="344" ht="26.25" customHeight="1"/>
    <row r="345" ht="26.25" customHeight="1"/>
    <row r="346" ht="26.25" customHeight="1"/>
    <row r="347" ht="26.25" customHeight="1"/>
    <row r="348" ht="26.25" customHeight="1"/>
    <row r="349" ht="26.25" customHeight="1"/>
    <row r="350" ht="26.25" customHeight="1"/>
    <row r="351" ht="26.25" customHeight="1"/>
    <row r="352" ht="26.25" customHeight="1"/>
    <row r="353" ht="26.25" customHeight="1"/>
    <row r="354" ht="26.25" customHeight="1"/>
    <row r="355" ht="26.25" customHeight="1"/>
    <row r="356" ht="26.25" customHeight="1"/>
    <row r="357" ht="26.25" customHeight="1"/>
    <row r="358" ht="26.25" customHeight="1"/>
    <row r="359" ht="26.25" customHeight="1"/>
    <row r="360" ht="26.25" customHeight="1"/>
    <row r="361" ht="26.25" customHeight="1"/>
    <row r="362" ht="26.25" customHeight="1"/>
    <row r="363" ht="26.25" customHeight="1"/>
    <row r="364" ht="26.25" customHeight="1"/>
    <row r="365" ht="26.25" customHeight="1"/>
    <row r="366" ht="26.25" customHeight="1"/>
    <row r="367" ht="26.25" customHeight="1"/>
    <row r="368" ht="26.25" customHeight="1"/>
    <row r="369" ht="26.25" customHeight="1"/>
    <row r="370" ht="26.25" customHeight="1"/>
    <row r="371" ht="26.25" customHeight="1"/>
    <row r="372" ht="26.25" customHeight="1"/>
    <row r="373" ht="26.25" customHeight="1"/>
    <row r="374" ht="26.25" customHeight="1"/>
    <row r="375" ht="26.25" customHeight="1"/>
    <row r="376" ht="26.25" customHeight="1"/>
    <row r="377" ht="26.25" customHeight="1"/>
    <row r="378" ht="26.25" customHeight="1"/>
    <row r="379" ht="26.25" customHeight="1"/>
    <row r="380" ht="26.25" customHeight="1"/>
    <row r="381" ht="26.25" customHeight="1"/>
    <row r="382" ht="26.25" customHeight="1"/>
    <row r="383" ht="26.25" customHeight="1"/>
    <row r="384" ht="26.25" customHeight="1"/>
    <row r="385" ht="26.25" customHeight="1"/>
    <row r="386" ht="26.25" customHeight="1"/>
    <row r="387" ht="26.25" customHeight="1"/>
    <row r="388" ht="26.25" customHeight="1"/>
    <row r="389" ht="26.25" customHeight="1"/>
    <row r="390" ht="26.25" customHeight="1"/>
    <row r="391" ht="26.25" customHeight="1"/>
    <row r="392" ht="26.25" customHeight="1"/>
    <row r="393" ht="26.25" customHeight="1"/>
    <row r="394" ht="26.25" customHeight="1"/>
    <row r="395" ht="26.25" customHeight="1"/>
    <row r="396" ht="26.25" customHeight="1"/>
    <row r="397" ht="26.25" customHeight="1"/>
    <row r="398" ht="26.25" customHeight="1"/>
    <row r="399" ht="26.25" customHeight="1"/>
    <row r="400" ht="26.25" customHeight="1"/>
    <row r="401" ht="26.25" customHeight="1"/>
    <row r="402" ht="26.25" customHeight="1"/>
    <row r="403" ht="26.25" customHeight="1"/>
    <row r="404" ht="26.25" customHeight="1"/>
    <row r="405" ht="26.25" customHeight="1"/>
    <row r="406" ht="26.25" customHeight="1"/>
    <row r="407" ht="26.25" customHeight="1"/>
    <row r="408" ht="26.25" customHeight="1"/>
    <row r="409" ht="26.25" customHeight="1"/>
    <row r="410" ht="26.25" customHeight="1"/>
    <row r="411" ht="26.25" customHeight="1"/>
    <row r="412" ht="26.25" customHeight="1"/>
    <row r="413" ht="26.25" customHeight="1"/>
    <row r="414" ht="26.25" customHeight="1"/>
    <row r="415" ht="26.25" customHeight="1"/>
    <row r="416" ht="26.25" customHeight="1"/>
    <row r="417" ht="26.25" customHeight="1"/>
    <row r="418" ht="26.25" customHeight="1"/>
    <row r="419" ht="26.25" customHeight="1"/>
    <row r="420" ht="26.25" customHeight="1"/>
    <row r="421" ht="26.25" customHeight="1"/>
    <row r="422" ht="26.25" customHeight="1"/>
    <row r="423" ht="26.25" customHeight="1"/>
    <row r="424" ht="26.25" customHeight="1"/>
    <row r="425" ht="26.25" customHeight="1"/>
    <row r="426" ht="26.25" customHeight="1"/>
    <row r="427" ht="26.25" customHeight="1"/>
    <row r="428" ht="26.25" customHeight="1"/>
    <row r="429" ht="26.25" customHeight="1"/>
    <row r="430" ht="26.25" customHeight="1"/>
    <row r="431" ht="26.25" customHeight="1"/>
    <row r="432" ht="26.25" customHeight="1"/>
    <row r="433" ht="26.25" customHeight="1"/>
    <row r="434" ht="26.25" customHeight="1"/>
    <row r="435" ht="26.25" customHeight="1"/>
    <row r="436" ht="26.25" customHeight="1"/>
    <row r="437" ht="26.25" customHeight="1"/>
    <row r="438" ht="26.25" customHeight="1"/>
    <row r="439" ht="26.25" customHeight="1"/>
    <row r="440" ht="26.25" customHeight="1"/>
    <row r="441" ht="26.25" customHeight="1"/>
    <row r="442" ht="26.25" customHeight="1"/>
    <row r="443" ht="26.25" customHeight="1"/>
    <row r="444" ht="26.25" customHeight="1"/>
    <row r="445" ht="26.25" customHeight="1"/>
    <row r="446" ht="26.25" customHeight="1"/>
    <row r="447" ht="26.25" customHeight="1"/>
    <row r="448" ht="26.25" customHeight="1"/>
    <row r="449" ht="26.25" customHeight="1"/>
    <row r="450" ht="26.25" customHeight="1"/>
    <row r="451" ht="26.25" customHeight="1"/>
    <row r="452" ht="26.25" customHeight="1"/>
    <row r="453" ht="26.25" customHeight="1"/>
    <row r="454" ht="26.25" customHeight="1"/>
    <row r="455" ht="26.25" customHeight="1"/>
    <row r="456" ht="26.25" customHeight="1"/>
    <row r="457" ht="26.25" customHeight="1"/>
    <row r="458" ht="26.25" customHeight="1"/>
    <row r="459" ht="26.25" customHeight="1"/>
    <row r="460" ht="26.25" customHeight="1"/>
    <row r="461" ht="26.25" customHeight="1"/>
    <row r="462" ht="26.25" customHeight="1"/>
    <row r="463" ht="26.25" customHeight="1"/>
    <row r="464" ht="26.25" customHeight="1"/>
    <row r="465" ht="26.25" customHeight="1"/>
    <row r="466" ht="26.25" customHeight="1"/>
    <row r="467" ht="26.25" customHeight="1"/>
    <row r="468" ht="26.25" customHeight="1"/>
    <row r="469" ht="26.25" customHeight="1"/>
    <row r="470" ht="26.25" customHeight="1"/>
    <row r="471" ht="26.25" customHeight="1"/>
    <row r="472" ht="26.25" customHeight="1"/>
    <row r="473" ht="26.25" customHeight="1"/>
    <row r="474" ht="26.25" customHeight="1"/>
    <row r="475" ht="26.25" customHeight="1"/>
    <row r="476" ht="26.25" customHeight="1"/>
    <row r="477" ht="26.25" customHeight="1"/>
    <row r="478" ht="26.25" customHeight="1"/>
    <row r="479" ht="26.25" customHeight="1"/>
    <row r="480" ht="26.25" customHeight="1"/>
    <row r="481" ht="26.25" customHeight="1"/>
    <row r="482" ht="26.25" customHeight="1"/>
    <row r="483" ht="26.25" customHeight="1"/>
    <row r="484" ht="26.25" customHeight="1"/>
    <row r="485" ht="26.25" customHeight="1"/>
    <row r="486" ht="26.25" customHeight="1"/>
    <row r="487" ht="26.25" customHeight="1"/>
    <row r="488" ht="26.25" customHeight="1"/>
    <row r="489" ht="26.25" customHeight="1"/>
    <row r="490" ht="26.25" customHeight="1"/>
    <row r="491" ht="26.25" customHeight="1"/>
    <row r="492" ht="26.25" customHeight="1"/>
    <row r="493" ht="26.25" customHeight="1"/>
    <row r="494" ht="26.25" customHeight="1"/>
    <row r="495" ht="26.25" customHeight="1"/>
    <row r="496" ht="26.25" customHeight="1"/>
    <row r="497" ht="26.25" customHeight="1"/>
    <row r="498" ht="26.25" customHeight="1"/>
    <row r="499" ht="26.25" customHeight="1"/>
    <row r="500" ht="26.25" customHeight="1"/>
    <row r="501" ht="26.25" customHeight="1"/>
    <row r="502" ht="26.25" customHeight="1"/>
    <row r="503" ht="26.25" customHeight="1"/>
    <row r="504" ht="26.25" customHeight="1"/>
    <row r="505" ht="26.25" customHeight="1"/>
    <row r="506" ht="26.25" customHeight="1"/>
    <row r="507" ht="26.25" customHeight="1"/>
    <row r="508" ht="26.25" customHeight="1"/>
    <row r="509" ht="26.25" customHeight="1"/>
    <row r="510" ht="26.25" customHeight="1"/>
    <row r="511" ht="26.25" customHeight="1"/>
    <row r="512" ht="26.25" customHeight="1"/>
    <row r="513" ht="26.25" customHeight="1"/>
    <row r="514" ht="26.25" customHeight="1"/>
    <row r="515" ht="26.25" customHeight="1"/>
    <row r="516" ht="26.25" customHeight="1"/>
    <row r="517" ht="26.25" customHeight="1"/>
    <row r="518" ht="26.25" customHeight="1"/>
    <row r="519" ht="26.25" customHeight="1"/>
    <row r="520" ht="26.25" customHeight="1"/>
    <row r="521" ht="26.25" customHeight="1"/>
    <row r="522" ht="26.25" customHeight="1"/>
    <row r="523" ht="26.25" customHeight="1"/>
    <row r="524" ht="26.25" customHeight="1"/>
    <row r="525" ht="26.25" customHeight="1"/>
    <row r="526" ht="26.25" customHeight="1"/>
    <row r="527" ht="26.25" customHeight="1"/>
    <row r="528" ht="26.25" customHeight="1"/>
    <row r="529" ht="26.25" customHeight="1"/>
    <row r="530" ht="26.25" customHeight="1"/>
    <row r="531" ht="26.25" customHeight="1"/>
    <row r="532" ht="26.25" customHeight="1"/>
    <row r="533" ht="26.25" customHeight="1"/>
    <row r="534" ht="26.25" customHeight="1"/>
    <row r="535" ht="26.25" customHeight="1"/>
    <row r="536" ht="26.25" customHeight="1"/>
    <row r="537" ht="26.25" customHeight="1"/>
    <row r="538" ht="26.25" customHeight="1"/>
    <row r="539" ht="26.25" customHeight="1"/>
    <row r="540" ht="26.25" customHeight="1"/>
    <row r="541" ht="26.25" customHeight="1"/>
    <row r="542" ht="26.25" customHeight="1"/>
    <row r="543" ht="26.25" customHeight="1"/>
    <row r="544" ht="26.25" customHeight="1"/>
    <row r="545" ht="26.25" customHeight="1"/>
    <row r="546" ht="26.25" customHeight="1"/>
    <row r="547" ht="26.25" customHeight="1"/>
    <row r="548" ht="26.25" customHeight="1"/>
    <row r="549" ht="26.25" customHeight="1"/>
    <row r="550" ht="26.25" customHeight="1"/>
    <row r="551" ht="26.25" customHeight="1"/>
    <row r="552" ht="26.25" customHeight="1"/>
    <row r="553" ht="26.25" customHeight="1"/>
    <row r="554" ht="26.25" customHeight="1"/>
    <row r="555" ht="26.25" customHeight="1"/>
    <row r="556" ht="26.25" customHeight="1"/>
    <row r="557" ht="26.25" customHeight="1"/>
    <row r="558" ht="26.25" customHeight="1"/>
    <row r="559" ht="26.25" customHeight="1"/>
    <row r="560" ht="26.25" customHeight="1"/>
    <row r="561" ht="26.25" customHeight="1"/>
    <row r="562" ht="26.25" customHeight="1"/>
    <row r="563" ht="26.25" customHeight="1"/>
    <row r="564" ht="26.25" customHeight="1"/>
    <row r="565" ht="26.25" customHeight="1"/>
    <row r="566" ht="26.25" customHeight="1"/>
    <row r="567" ht="26.25" customHeight="1"/>
    <row r="568" ht="26.25" customHeight="1"/>
    <row r="569" ht="26.25" customHeight="1"/>
    <row r="570" ht="26.25" customHeight="1"/>
    <row r="571" ht="26.25" customHeight="1"/>
    <row r="572" ht="26.25" customHeight="1"/>
    <row r="573" ht="26.25" customHeight="1"/>
    <row r="574" ht="26.25" customHeight="1"/>
    <row r="575" ht="26.25" customHeight="1"/>
    <row r="576" ht="26.25" customHeight="1"/>
    <row r="577" ht="26.25" customHeight="1"/>
    <row r="578" ht="26.25" customHeight="1"/>
    <row r="579" ht="26.25" customHeight="1"/>
    <row r="580" ht="26.25" customHeight="1"/>
    <row r="581" ht="26.25" customHeight="1"/>
    <row r="582" ht="26.25" customHeight="1"/>
    <row r="583" ht="26.25" customHeight="1"/>
    <row r="584" ht="26.25" customHeight="1"/>
    <row r="585" ht="26.25" customHeight="1"/>
    <row r="586" ht="26.25" customHeight="1"/>
    <row r="587" ht="26.25" customHeight="1"/>
    <row r="588" ht="26.25" customHeight="1"/>
    <row r="589" ht="26.25" customHeight="1"/>
    <row r="590" ht="26.25" customHeight="1"/>
    <row r="591" ht="26.25" customHeight="1"/>
    <row r="592" ht="26.25" customHeight="1"/>
    <row r="593" ht="26.25" customHeight="1"/>
    <row r="594" ht="26.25" customHeight="1"/>
    <row r="595" ht="26.25" customHeight="1"/>
    <row r="596" ht="26.25" customHeight="1"/>
    <row r="597" ht="26.25" customHeight="1"/>
    <row r="598" ht="26.25" customHeight="1"/>
    <row r="599" ht="26.25" customHeight="1"/>
    <row r="600" ht="26.25" customHeight="1"/>
    <row r="601" ht="26.25" customHeight="1"/>
    <row r="602" ht="26.25" customHeight="1"/>
    <row r="603" ht="26.25" customHeight="1"/>
    <row r="604" ht="26.25" customHeight="1"/>
    <row r="605" ht="26.25" customHeight="1"/>
    <row r="606" ht="26.25" customHeight="1"/>
    <row r="607" ht="26.25" customHeight="1"/>
    <row r="608" ht="26.25" customHeight="1"/>
    <row r="609" ht="26.25" customHeight="1"/>
    <row r="610" ht="26.25" customHeight="1"/>
    <row r="611" ht="26.25" customHeight="1"/>
    <row r="612" ht="26.25" customHeight="1"/>
    <row r="613" ht="26.25" customHeight="1"/>
    <row r="614" ht="26.25" customHeight="1"/>
    <row r="615" ht="26.25" customHeight="1"/>
    <row r="616" ht="26.25" customHeight="1"/>
    <row r="617" ht="26.25" customHeight="1"/>
    <row r="618" ht="26.25" customHeight="1"/>
    <row r="619" ht="26.25" customHeight="1"/>
    <row r="620" ht="26.25" customHeight="1"/>
    <row r="621" ht="26.25" customHeight="1"/>
    <row r="622" ht="26.25" customHeight="1"/>
    <row r="623" ht="26.25" customHeight="1"/>
    <row r="624" ht="26.25" customHeight="1"/>
    <row r="625" ht="26.25" customHeight="1"/>
    <row r="626" ht="26.25" customHeight="1"/>
    <row r="627" ht="26.25" customHeight="1"/>
    <row r="628" ht="26.25" customHeight="1"/>
    <row r="629" ht="26.25" customHeight="1"/>
    <row r="630" ht="26.25" customHeight="1"/>
    <row r="631" ht="26.25" customHeight="1"/>
    <row r="632" ht="26.25" customHeight="1"/>
    <row r="633" ht="26.25" customHeight="1"/>
    <row r="634" ht="26.25" customHeight="1"/>
    <row r="635" ht="26.25" customHeight="1"/>
    <row r="636" ht="26.25" customHeight="1"/>
    <row r="637" ht="26.25" customHeight="1"/>
    <row r="638" ht="26.25" customHeight="1"/>
    <row r="639" ht="26.25" customHeight="1"/>
    <row r="640" ht="26.25" customHeight="1"/>
    <row r="641" ht="26.25" customHeight="1"/>
    <row r="642" ht="26.25" customHeight="1"/>
    <row r="643" ht="26.25" customHeight="1"/>
    <row r="644" ht="26.25" customHeight="1"/>
    <row r="645" ht="26.25" customHeight="1"/>
    <row r="646" ht="26.25" customHeight="1"/>
    <row r="647" ht="26.25" customHeight="1"/>
    <row r="648" ht="26.25" customHeight="1"/>
    <row r="649" ht="26.25" customHeight="1"/>
    <row r="650" ht="26.25" customHeight="1"/>
    <row r="651" ht="26.25" customHeight="1"/>
    <row r="652" ht="26.25" customHeight="1"/>
    <row r="653" ht="26.25" customHeight="1"/>
    <row r="654" ht="26.25" customHeight="1"/>
    <row r="655" ht="26.25" customHeight="1"/>
    <row r="656" ht="26.25" customHeight="1"/>
    <row r="657" ht="26.25" customHeight="1"/>
    <row r="658" ht="26.25" customHeight="1"/>
    <row r="659" ht="26.25" customHeight="1"/>
    <row r="660" ht="26.25" customHeight="1"/>
    <row r="661" ht="26.25" customHeight="1"/>
    <row r="662" ht="26.25" customHeight="1"/>
    <row r="663" ht="26.25" customHeight="1"/>
    <row r="664" ht="26.25" customHeight="1"/>
    <row r="665" ht="26.25" customHeight="1"/>
    <row r="666" ht="26.25" customHeight="1"/>
    <row r="667" ht="26.25" customHeight="1"/>
    <row r="668" ht="26.25" customHeight="1"/>
    <row r="669" ht="26.25" customHeight="1"/>
    <row r="670" ht="26.25" customHeight="1"/>
    <row r="671" ht="26.25" customHeight="1"/>
    <row r="672" ht="26.25" customHeight="1"/>
    <row r="673" ht="26.25" customHeight="1"/>
    <row r="674" ht="26.25" customHeight="1"/>
    <row r="675" ht="26.25" customHeight="1"/>
    <row r="676" ht="26.25" customHeight="1"/>
    <row r="677" ht="26.25" customHeight="1"/>
    <row r="678" ht="26.25" customHeight="1"/>
    <row r="679" ht="26.25" customHeight="1"/>
    <row r="680" ht="26.25" customHeight="1"/>
    <row r="681" ht="26.25" customHeight="1"/>
    <row r="682" ht="26.25" customHeight="1"/>
    <row r="683" ht="26.25" customHeight="1"/>
    <row r="684" ht="26.25" customHeight="1"/>
    <row r="685" ht="26.25" customHeight="1"/>
    <row r="686" ht="26.25" customHeight="1"/>
    <row r="687" ht="26.25" customHeight="1"/>
    <row r="688" ht="26.25" customHeight="1"/>
    <row r="689" ht="26.25" customHeight="1"/>
    <row r="690" ht="26.25" customHeight="1"/>
    <row r="691" ht="26.25" customHeight="1"/>
    <row r="692" ht="26.25" customHeight="1"/>
    <row r="693" ht="26.25" customHeight="1"/>
    <row r="694" ht="26.25" customHeight="1"/>
    <row r="695" ht="26.25" customHeight="1"/>
    <row r="696" ht="26.25" customHeight="1"/>
    <row r="697" ht="26.25" customHeight="1"/>
    <row r="698" ht="26.25" customHeight="1"/>
    <row r="699" ht="26.25" customHeight="1"/>
    <row r="700" ht="26.25" customHeight="1"/>
    <row r="701" ht="26.25" customHeight="1"/>
    <row r="702" ht="26.25" customHeight="1"/>
    <row r="703" ht="26.25" customHeight="1"/>
    <row r="704" ht="26.25" customHeight="1"/>
    <row r="705" ht="26.25" customHeight="1"/>
    <row r="706" ht="26.25" customHeight="1"/>
    <row r="707" ht="26.25" customHeight="1"/>
    <row r="708" ht="26.25" customHeight="1"/>
    <row r="709" ht="26.25" customHeight="1"/>
    <row r="710" ht="26.25" customHeight="1"/>
    <row r="711" ht="26.25" customHeight="1"/>
    <row r="712" ht="26.25" customHeight="1"/>
    <row r="713" ht="26.25" customHeight="1"/>
    <row r="714" ht="26.25" customHeight="1"/>
    <row r="715" ht="26.25" customHeight="1"/>
    <row r="716" ht="26.25" customHeight="1"/>
    <row r="717" ht="26.25" customHeight="1"/>
    <row r="718" ht="26.25" customHeight="1"/>
    <row r="719" ht="26.25" customHeight="1"/>
    <row r="720" ht="26.25" customHeight="1"/>
    <row r="721" ht="26.25" customHeight="1"/>
    <row r="722" ht="26.25" customHeight="1"/>
    <row r="723" ht="26.25" customHeight="1"/>
    <row r="724" ht="26.25" customHeight="1"/>
    <row r="725" ht="26.25" customHeight="1"/>
    <row r="726" ht="26.25" customHeight="1"/>
    <row r="727" ht="26.25" customHeight="1"/>
    <row r="728" ht="26.25" customHeight="1"/>
    <row r="729" ht="26.25" customHeight="1"/>
    <row r="730" ht="26.25" customHeight="1"/>
    <row r="731" ht="26.25" customHeight="1"/>
    <row r="732" ht="26.25" customHeight="1"/>
    <row r="733" ht="26.25" customHeight="1"/>
    <row r="734" ht="26.25" customHeight="1"/>
    <row r="735" ht="26.25" customHeight="1"/>
    <row r="736" ht="26.25" customHeight="1"/>
    <row r="737" ht="26.25" customHeight="1"/>
    <row r="738" ht="26.25" customHeight="1"/>
    <row r="739" ht="26.25" customHeight="1"/>
    <row r="740" ht="26.25" customHeight="1"/>
    <row r="741" ht="26.25" customHeight="1"/>
    <row r="742" ht="26.25" customHeight="1"/>
    <row r="743" ht="26.25" customHeight="1"/>
    <row r="744" ht="26.25" customHeight="1"/>
    <row r="745" ht="26.25" customHeight="1"/>
    <row r="746" ht="26.25" customHeight="1"/>
    <row r="747" ht="26.25" customHeight="1"/>
    <row r="748" ht="26.25" customHeight="1"/>
    <row r="749" ht="26.25" customHeight="1"/>
    <row r="750" ht="26.25" customHeight="1"/>
    <row r="751" ht="26.25" customHeight="1"/>
    <row r="752" ht="26.25" customHeight="1"/>
    <row r="753" ht="26.25" customHeight="1"/>
    <row r="754" ht="26.25" customHeight="1"/>
    <row r="755" ht="26.25" customHeight="1"/>
    <row r="756" ht="26.25" customHeight="1"/>
    <row r="757" ht="26.25" customHeight="1"/>
    <row r="758" ht="26.25" customHeight="1"/>
    <row r="759" ht="26.25" customHeight="1"/>
    <row r="760" ht="26.25" customHeight="1"/>
    <row r="761" ht="26.25" customHeight="1"/>
    <row r="762" ht="26.25" customHeight="1"/>
    <row r="763" ht="26.25" customHeight="1"/>
    <row r="764" ht="26.25" customHeight="1"/>
    <row r="765" ht="26.25" customHeight="1"/>
    <row r="766" ht="26.25" customHeight="1"/>
    <row r="767" ht="26.25" customHeight="1"/>
    <row r="768" ht="26.25" customHeight="1"/>
    <row r="769" ht="26.25" customHeight="1"/>
    <row r="770" ht="26.25" customHeight="1"/>
    <row r="771" ht="26.25" customHeight="1"/>
    <row r="772" ht="26.25" customHeight="1"/>
    <row r="773" ht="26.25" customHeight="1"/>
    <row r="774" ht="26.25" customHeight="1"/>
    <row r="775" ht="26.25" customHeight="1"/>
    <row r="776" ht="26.25" customHeight="1"/>
    <row r="777" ht="26.25" customHeight="1"/>
    <row r="778" ht="26.25" customHeight="1"/>
    <row r="779" ht="26.25" customHeight="1"/>
    <row r="780" ht="26.25" customHeight="1"/>
    <row r="781" ht="26.25" customHeight="1"/>
    <row r="782" ht="26.25" customHeight="1"/>
    <row r="783" ht="26.25" customHeight="1"/>
    <row r="784" ht="26.25" customHeight="1"/>
    <row r="785" ht="26.25" customHeight="1"/>
    <row r="786" ht="26.25" customHeight="1"/>
    <row r="787" ht="26.25" customHeight="1"/>
    <row r="788" ht="26.25" customHeight="1"/>
    <row r="789" ht="26.25" customHeight="1"/>
    <row r="790" ht="26.25" customHeight="1"/>
    <row r="791" ht="26.25" customHeight="1"/>
    <row r="792" ht="26.25" customHeight="1"/>
    <row r="793" ht="26.25" customHeight="1"/>
    <row r="794" ht="26.25" customHeight="1"/>
    <row r="795" ht="26.25" customHeight="1"/>
    <row r="796" ht="26.25" customHeight="1"/>
    <row r="797" ht="26.25" customHeight="1"/>
    <row r="798" ht="26.25" customHeight="1"/>
    <row r="799" ht="26.25" customHeight="1"/>
    <row r="800" ht="26.25" customHeight="1"/>
    <row r="801" ht="26.25" customHeight="1"/>
    <row r="802" ht="26.25" customHeight="1"/>
    <row r="803" ht="26.25" customHeight="1"/>
    <row r="804" ht="26.25" customHeight="1"/>
    <row r="805" ht="26.25" customHeight="1"/>
    <row r="806" ht="26.25" customHeight="1"/>
    <row r="807" ht="26.25" customHeight="1"/>
    <row r="808" ht="26.25" customHeight="1"/>
    <row r="809" ht="26.25" customHeight="1"/>
    <row r="810" ht="26.25" customHeight="1"/>
    <row r="811" ht="26.25" customHeight="1"/>
    <row r="812" ht="26.25" customHeight="1"/>
    <row r="813" ht="26.25" customHeight="1"/>
    <row r="814" ht="26.25" customHeight="1"/>
    <row r="815" ht="26.25" customHeight="1"/>
    <row r="816" ht="26.25" customHeight="1"/>
    <row r="817" ht="26.25" customHeight="1"/>
    <row r="818" ht="26.25" customHeight="1"/>
    <row r="819" ht="26.25" customHeight="1"/>
    <row r="820" ht="26.25" customHeight="1"/>
    <row r="821" ht="26.25" customHeight="1"/>
    <row r="822" ht="26.25" customHeight="1"/>
    <row r="823" ht="26.25" customHeight="1"/>
    <row r="824" ht="26.25" customHeight="1"/>
    <row r="825" ht="26.25" customHeight="1"/>
    <row r="826" ht="26.25" customHeight="1"/>
    <row r="827" ht="26.25" customHeight="1"/>
    <row r="828" ht="26.25" customHeight="1"/>
    <row r="829" ht="26.25" customHeight="1"/>
    <row r="830" ht="26.25" customHeight="1"/>
    <row r="831" ht="26.25" customHeight="1"/>
    <row r="832" ht="26.25" customHeight="1"/>
    <row r="833" ht="26.25" customHeight="1"/>
    <row r="834" ht="26.25" customHeight="1"/>
    <row r="835" ht="26.25" customHeight="1"/>
    <row r="836" ht="26.25" customHeight="1"/>
    <row r="837" ht="26.25" customHeight="1"/>
    <row r="838" ht="26.25" customHeight="1"/>
    <row r="839" ht="26.25" customHeight="1"/>
    <row r="840" ht="26.25" customHeight="1"/>
    <row r="841" ht="26.25" customHeight="1"/>
    <row r="842" ht="26.25" customHeight="1"/>
    <row r="843" ht="26.25" customHeight="1"/>
    <row r="844" ht="26.25" customHeight="1"/>
    <row r="845" ht="26.25" customHeight="1"/>
    <row r="846" ht="26.25" customHeight="1"/>
    <row r="847" ht="26.25" customHeight="1"/>
    <row r="848" ht="26.25" customHeight="1"/>
    <row r="849" ht="26.25" customHeight="1"/>
    <row r="850" ht="26.25" customHeight="1"/>
    <row r="851" ht="26.25" customHeight="1"/>
    <row r="852" ht="26.25" customHeight="1"/>
    <row r="853" ht="26.25" customHeight="1"/>
    <row r="854" ht="26.25" customHeight="1"/>
    <row r="855" ht="26.25" customHeight="1"/>
    <row r="856" ht="26.25" customHeight="1"/>
    <row r="857" ht="26.25" customHeight="1"/>
    <row r="858" ht="26.25" customHeight="1"/>
    <row r="859" ht="26.25" customHeight="1"/>
    <row r="860" ht="26.25" customHeight="1"/>
    <row r="861" ht="26.25" customHeight="1"/>
    <row r="862" ht="26.25" customHeight="1"/>
    <row r="863" ht="26.25" customHeight="1"/>
    <row r="864" ht="26.25" customHeight="1"/>
    <row r="865" ht="26.25" customHeight="1"/>
    <row r="866" ht="26.25" customHeight="1"/>
    <row r="867" ht="26.25" customHeight="1"/>
    <row r="868" ht="26.25" customHeight="1"/>
    <row r="869" ht="26.25" customHeight="1"/>
    <row r="870" ht="26.25" customHeight="1"/>
    <row r="871" ht="26.25" customHeight="1"/>
    <row r="872" ht="26.25" customHeight="1"/>
    <row r="873" ht="26.25" customHeight="1"/>
    <row r="874" ht="26.25" customHeight="1"/>
    <row r="875" ht="26.25" customHeight="1"/>
    <row r="876" ht="26.25" customHeight="1"/>
    <row r="877" ht="26.25" customHeight="1"/>
    <row r="878" ht="26.25" customHeight="1"/>
    <row r="879" ht="26.25" customHeight="1"/>
    <row r="880" ht="26.25" customHeight="1"/>
    <row r="881" ht="26.25" customHeight="1"/>
    <row r="882" ht="26.25" customHeight="1"/>
    <row r="883" ht="26.25" customHeight="1"/>
    <row r="884" ht="26.25" customHeight="1"/>
    <row r="885" ht="26.25" customHeight="1"/>
    <row r="886" ht="26.25" customHeight="1"/>
    <row r="887" ht="26.25" customHeight="1"/>
    <row r="888" ht="26.25" customHeight="1"/>
    <row r="889" ht="26.25" customHeight="1"/>
    <row r="890" ht="26.25" customHeight="1"/>
    <row r="891" ht="26.25" customHeight="1"/>
    <row r="892" ht="26.25" customHeight="1"/>
    <row r="893" ht="26.25" customHeight="1"/>
    <row r="894" ht="26.25" customHeight="1"/>
    <row r="895" ht="26.25" customHeight="1"/>
    <row r="896" ht="26.25" customHeight="1"/>
    <row r="897" ht="26.25" customHeight="1"/>
    <row r="898" ht="26.25" customHeight="1"/>
    <row r="899" ht="26.25" customHeight="1"/>
    <row r="900" ht="26.25" customHeight="1"/>
    <row r="901" ht="26.25" customHeight="1"/>
    <row r="902" ht="26.25" customHeight="1"/>
    <row r="903" ht="26.25" customHeight="1"/>
    <row r="904" ht="26.25" customHeight="1"/>
    <row r="905" ht="26.25" customHeight="1"/>
    <row r="906" ht="26.25" customHeight="1"/>
    <row r="907" ht="26.25" customHeight="1"/>
    <row r="908" ht="26.25" customHeight="1"/>
    <row r="909" ht="26.25" customHeight="1"/>
    <row r="910" ht="26.25" customHeight="1"/>
    <row r="911" ht="26.25" customHeight="1"/>
    <row r="912" ht="26.25" customHeight="1"/>
    <row r="913" ht="26.25" customHeight="1"/>
    <row r="914" ht="26.25" customHeight="1"/>
    <row r="915" ht="26.25" customHeight="1"/>
    <row r="916" ht="26.25" customHeight="1"/>
    <row r="917" ht="26.25" customHeight="1"/>
    <row r="918" ht="26.25" customHeight="1"/>
    <row r="919" ht="26.25" customHeight="1"/>
    <row r="920" ht="26.25" customHeight="1"/>
    <row r="921" ht="26.25" customHeight="1"/>
    <row r="922" ht="26.25" customHeight="1"/>
    <row r="923" ht="26.25" customHeight="1"/>
    <row r="924" ht="26.25" customHeight="1"/>
    <row r="925" ht="26.25" customHeight="1"/>
    <row r="926" ht="26.25" customHeight="1"/>
    <row r="927" ht="26.25" customHeight="1"/>
    <row r="928" ht="26.25" customHeight="1"/>
    <row r="929" ht="26.25" customHeight="1"/>
    <row r="930" ht="26.25" customHeight="1"/>
    <row r="931" ht="26.25" customHeight="1"/>
    <row r="932" ht="26.25" customHeight="1"/>
    <row r="933" ht="26.25" customHeight="1"/>
    <row r="934" ht="26.25" customHeight="1"/>
    <row r="935" ht="26.25" customHeight="1"/>
    <row r="936" ht="26.25" customHeight="1"/>
    <row r="937" ht="26.25" customHeight="1"/>
    <row r="938" ht="26.25" customHeight="1"/>
    <row r="939" ht="26.25" customHeight="1"/>
    <row r="940" ht="26.25" customHeight="1"/>
    <row r="941" ht="26.25" customHeight="1"/>
    <row r="942" ht="26.25" customHeight="1"/>
    <row r="943" ht="26.25" customHeight="1"/>
    <row r="944" ht="26.25" customHeight="1"/>
    <row r="945" ht="26.25" customHeight="1"/>
    <row r="946" ht="26.25" customHeight="1"/>
    <row r="947" ht="26.25" customHeight="1"/>
    <row r="948" ht="26.25" customHeight="1"/>
    <row r="949" ht="26.25" customHeight="1"/>
    <row r="950" ht="26.25" customHeight="1"/>
    <row r="951" ht="26.25" customHeight="1"/>
    <row r="952" ht="26.25" customHeight="1"/>
    <row r="953" ht="26.25" customHeight="1"/>
    <row r="954" ht="26.25" customHeight="1"/>
    <row r="955" ht="26.25" customHeight="1"/>
    <row r="956" ht="26.25" customHeight="1"/>
    <row r="957" ht="26.25" customHeight="1"/>
    <row r="958" ht="26.25" customHeight="1"/>
    <row r="959" ht="26.25" customHeight="1"/>
    <row r="960" ht="26.25" customHeight="1"/>
    <row r="961" ht="26.25" customHeight="1"/>
    <row r="962" ht="26.25" customHeight="1"/>
    <row r="963" ht="26.25" customHeight="1"/>
    <row r="964" ht="26.25" customHeight="1"/>
    <row r="965" ht="26.25" customHeight="1"/>
    <row r="966" ht="26.25" customHeight="1"/>
    <row r="967" ht="26.25" customHeight="1"/>
    <row r="968" ht="26.25" customHeight="1"/>
    <row r="969" ht="26.25" customHeight="1"/>
    <row r="970" ht="26.25" customHeight="1"/>
    <row r="971" ht="26.25" customHeight="1"/>
    <row r="972" ht="26.25" customHeight="1"/>
    <row r="973" ht="26.25" customHeight="1"/>
    <row r="974" ht="26.25" customHeight="1"/>
    <row r="975" ht="26.25" customHeight="1"/>
    <row r="976" ht="26.25" customHeight="1"/>
    <row r="977" ht="26.25" customHeight="1"/>
    <row r="978" ht="26.25" customHeight="1"/>
    <row r="979" ht="26.25" customHeight="1"/>
    <row r="980" ht="26.25" customHeight="1"/>
    <row r="981" ht="26.25" customHeight="1"/>
    <row r="982" ht="26.25" customHeight="1"/>
    <row r="983" ht="26.25" customHeight="1"/>
    <row r="984" ht="26.25" customHeight="1"/>
    <row r="985" ht="26.25" customHeight="1"/>
    <row r="986" ht="26.25" customHeight="1"/>
    <row r="987" ht="26.25" customHeight="1"/>
    <row r="988" ht="26.25" customHeight="1"/>
    <row r="989" ht="26.25" customHeight="1"/>
    <row r="990" ht="26.25" customHeight="1"/>
    <row r="991" ht="26.25" customHeight="1"/>
    <row r="992" ht="26.25" customHeight="1"/>
    <row r="993" ht="26.25" customHeight="1"/>
    <row r="994" ht="26.25" customHeight="1"/>
    <row r="995" ht="26.25" customHeight="1"/>
    <row r="996" ht="26.25" customHeight="1"/>
    <row r="997" ht="26.25" customHeight="1"/>
    <row r="998" ht="26.25" customHeight="1"/>
    <row r="999" ht="26.25" customHeight="1"/>
    <row r="1000" ht="26.25" customHeight="1"/>
  </sheetData>
  <dataValidations>
    <dataValidation type="custom" allowBlank="1" showDropDown="1" sqref="A14:D31">
      <formula1>AND(ISNUMBER(A14),(NOT(OR(NOT(ISERROR(DATEVALUE(A14))), AND(ISNUMBER(A14), LEFT(CELL("format", A14))="D")))))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63"/>
    <col customWidth="1" min="3" max="3" width="18.63"/>
    <col customWidth="1" min="4" max="4" width="19.5"/>
    <col customWidth="1" min="5" max="5" width="21.75"/>
    <col customWidth="1" min="6" max="6" width="31.63"/>
    <col customWidth="1" min="7" max="7" width="30.75"/>
    <col customWidth="1" min="8" max="8" width="18.63"/>
    <col customWidth="1" min="9" max="9" width="23.0"/>
    <col customWidth="1" min="10" max="10" width="20.25"/>
    <col customWidth="1" min="11" max="11" width="23.13"/>
    <col customWidth="1" min="12" max="16" width="18.63"/>
    <col customWidth="1" min="17" max="17" width="19.75"/>
    <col customWidth="1" min="18" max="26" width="18.63"/>
  </cols>
  <sheetData>
    <row r="1" ht="30.0" customHeight="1">
      <c r="A1" s="40" t="s">
        <v>58</v>
      </c>
      <c r="B1" s="34" t="s">
        <v>59</v>
      </c>
      <c r="C1" s="34" t="s">
        <v>60</v>
      </c>
      <c r="D1" s="34" t="s">
        <v>61</v>
      </c>
      <c r="E1" s="34" t="s">
        <v>141</v>
      </c>
      <c r="F1" s="41" t="s">
        <v>63</v>
      </c>
      <c r="G1" s="34" t="s">
        <v>64</v>
      </c>
      <c r="H1" s="42" t="s">
        <v>65</v>
      </c>
      <c r="K1" s="43" t="s">
        <v>66</v>
      </c>
      <c r="L1" s="43" t="s">
        <v>67</v>
      </c>
      <c r="M1" s="43" t="s">
        <v>68</v>
      </c>
      <c r="P1" s="106" t="s">
        <v>243</v>
      </c>
      <c r="Q1" s="100" t="s">
        <v>244</v>
      </c>
    </row>
    <row r="2" ht="30.0" customHeight="1">
      <c r="A2" s="47" t="s">
        <v>5</v>
      </c>
      <c r="B2" s="48">
        <f>'Stats Fab'!G2</f>
        <v>520</v>
      </c>
      <c r="C2" s="49"/>
      <c r="D2" s="48">
        <f t="shared" ref="D2:D3" si="1">B2+C2</f>
        <v>520</v>
      </c>
      <c r="E2" s="39">
        <v>0.0</v>
      </c>
      <c r="F2" s="34">
        <v>0.0</v>
      </c>
      <c r="G2" s="34" t="s">
        <v>72</v>
      </c>
      <c r="H2" s="50" t="b">
        <v>0</v>
      </c>
      <c r="K2" s="44" t="b">
        <v>1</v>
      </c>
      <c r="L2" s="44" t="s">
        <v>209</v>
      </c>
      <c r="M2" s="51">
        <v>250.0</v>
      </c>
      <c r="Q2" s="100" t="s">
        <v>245</v>
      </c>
    </row>
    <row r="3" ht="30.0" customHeight="1">
      <c r="A3" s="52" t="s">
        <v>11</v>
      </c>
      <c r="B3" s="48">
        <f>'Stats Fab'!G4</f>
        <v>180</v>
      </c>
      <c r="C3" s="49"/>
      <c r="D3" s="48">
        <f t="shared" si="1"/>
        <v>180</v>
      </c>
      <c r="E3" s="39">
        <v>100.0</v>
      </c>
      <c r="F3" s="34">
        <v>100.0</v>
      </c>
      <c r="G3" s="34" t="s">
        <v>79</v>
      </c>
      <c r="H3" s="50" t="b">
        <v>0</v>
      </c>
      <c r="J3" s="44" t="s">
        <v>80</v>
      </c>
      <c r="K3" s="44" t="s">
        <v>80</v>
      </c>
      <c r="L3" s="44" t="s">
        <v>183</v>
      </c>
    </row>
    <row r="4" ht="30.0" customHeight="1">
      <c r="A4" s="53" t="s">
        <v>85</v>
      </c>
      <c r="B4" s="48"/>
      <c r="C4" s="49"/>
      <c r="D4" s="76"/>
      <c r="E4" s="39"/>
      <c r="F4" s="34"/>
      <c r="G4" s="34" t="s">
        <v>86</v>
      </c>
      <c r="H4" s="50" t="b">
        <v>0</v>
      </c>
      <c r="K4" s="107" t="s">
        <v>246</v>
      </c>
      <c r="L4" s="44">
        <v>5.0</v>
      </c>
      <c r="M4" s="51"/>
    </row>
    <row r="5" ht="30.0" customHeight="1">
      <c r="A5" s="49"/>
      <c r="B5" s="48"/>
      <c r="C5" s="49"/>
      <c r="D5" s="48"/>
      <c r="E5" s="48"/>
      <c r="F5" s="34"/>
      <c r="G5" s="34" t="s">
        <v>140</v>
      </c>
      <c r="H5" s="50" t="b">
        <v>0</v>
      </c>
      <c r="J5" s="108"/>
      <c r="M5" s="109"/>
    </row>
    <row r="6" ht="30.0" customHeight="1">
      <c r="A6" s="54" t="s">
        <v>20</v>
      </c>
      <c r="B6" s="48">
        <f>'Stats Fab'!G6</f>
        <v>155</v>
      </c>
      <c r="C6" s="34">
        <v>20.0</v>
      </c>
      <c r="D6" s="48">
        <f t="shared" ref="D6:D7" si="2">B6+C6</f>
        <v>175</v>
      </c>
      <c r="E6" s="39">
        <v>250.0</v>
      </c>
      <c r="F6" s="34">
        <v>250.0</v>
      </c>
      <c r="G6" s="34" t="s">
        <v>88</v>
      </c>
      <c r="H6" s="50" t="b">
        <v>0</v>
      </c>
      <c r="J6" s="110" t="s">
        <v>45</v>
      </c>
      <c r="K6" s="63">
        <v>2.0</v>
      </c>
      <c r="L6" s="107"/>
      <c r="M6" s="73"/>
    </row>
    <row r="7" ht="30.0" customHeight="1">
      <c r="A7" s="55" t="s">
        <v>27</v>
      </c>
      <c r="B7" s="48">
        <f>'Stats Fab'!G8</f>
        <v>55</v>
      </c>
      <c r="C7" s="34"/>
      <c r="D7" s="48">
        <f t="shared" si="2"/>
        <v>55</v>
      </c>
      <c r="E7" s="39">
        <v>55.0</v>
      </c>
      <c r="F7" s="34">
        <v>55.0</v>
      </c>
      <c r="G7" s="34" t="s">
        <v>89</v>
      </c>
      <c r="H7" s="50" t="b">
        <v>0</v>
      </c>
      <c r="J7" s="110" t="s">
        <v>247</v>
      </c>
      <c r="K7" s="63">
        <v>5.0</v>
      </c>
      <c r="L7" s="111" t="s">
        <v>248</v>
      </c>
      <c r="M7" s="112"/>
    </row>
    <row r="8" ht="30.0" customHeight="1">
      <c r="A8" s="49"/>
      <c r="B8" s="48"/>
      <c r="C8" s="49"/>
      <c r="D8" s="48"/>
      <c r="E8" s="48"/>
      <c r="F8" s="34"/>
      <c r="G8" s="34" t="s">
        <v>90</v>
      </c>
      <c r="H8" s="50" t="b">
        <v>0</v>
      </c>
      <c r="J8" s="110" t="s">
        <v>249</v>
      </c>
      <c r="K8" s="113">
        <v>250.0</v>
      </c>
      <c r="L8" s="114">
        <v>12.0</v>
      </c>
      <c r="M8" s="51"/>
    </row>
    <row r="9" ht="30.0" customHeight="1">
      <c r="A9" s="56" t="s">
        <v>33</v>
      </c>
      <c r="B9" s="48">
        <f>'Stats Fab'!G10</f>
        <v>45</v>
      </c>
      <c r="C9" s="49"/>
      <c r="D9" s="48">
        <f t="shared" ref="D9:D10" si="3">B9+C9</f>
        <v>45</v>
      </c>
      <c r="E9" s="39">
        <v>45.0</v>
      </c>
      <c r="F9" s="34">
        <v>45.0</v>
      </c>
      <c r="G9" s="34" t="s">
        <v>91</v>
      </c>
      <c r="H9" s="50" t="b">
        <v>0</v>
      </c>
      <c r="J9" s="110" t="s">
        <v>250</v>
      </c>
      <c r="K9" s="63">
        <v>285.0</v>
      </c>
      <c r="L9" s="107"/>
      <c r="M9" s="51"/>
    </row>
    <row r="10" ht="30.0" customHeight="1">
      <c r="A10" s="57" t="s">
        <v>92</v>
      </c>
      <c r="B10" s="48">
        <f>'Stats Fab'!G12</f>
        <v>22</v>
      </c>
      <c r="C10" s="49"/>
      <c r="D10" s="48">
        <f t="shared" si="3"/>
        <v>22</v>
      </c>
      <c r="E10" s="39">
        <v>22.0</v>
      </c>
      <c r="F10" s="34">
        <v>22.0</v>
      </c>
      <c r="G10" s="34" t="s">
        <v>93</v>
      </c>
      <c r="H10" s="50" t="b">
        <v>0</v>
      </c>
      <c r="J10" s="110" t="s">
        <v>251</v>
      </c>
      <c r="K10" s="63">
        <v>287.0</v>
      </c>
    </row>
    <row r="11" ht="30.0" customHeight="1">
      <c r="A11" s="49"/>
      <c r="B11" s="48"/>
      <c r="C11" s="49"/>
      <c r="D11" s="48"/>
      <c r="E11" s="48"/>
      <c r="F11" s="34"/>
      <c r="G11" s="34" t="s">
        <v>94</v>
      </c>
      <c r="H11" s="50" t="b">
        <v>0</v>
      </c>
      <c r="J11" s="110" t="s">
        <v>252</v>
      </c>
      <c r="K11" s="63">
        <v>150.0</v>
      </c>
      <c r="L11" s="63">
        <v>30.0</v>
      </c>
    </row>
    <row r="12" ht="30.0" customHeight="1">
      <c r="A12" s="60" t="s">
        <v>95</v>
      </c>
      <c r="B12" s="48">
        <f>'Stats Fab'!G14</f>
        <v>25</v>
      </c>
      <c r="C12" s="49"/>
      <c r="D12" s="48">
        <f t="shared" ref="D12:D13" si="4">B12+C12</f>
        <v>25</v>
      </c>
      <c r="E12" s="39">
        <v>25.0</v>
      </c>
      <c r="F12" s="89">
        <v>25.0</v>
      </c>
      <c r="G12" s="34" t="s">
        <v>96</v>
      </c>
      <c r="H12" s="59" t="b">
        <v>0</v>
      </c>
      <c r="J12" s="108"/>
      <c r="K12" s="64"/>
    </row>
    <row r="13" ht="30.0" customHeight="1">
      <c r="A13" s="60" t="s">
        <v>97</v>
      </c>
      <c r="B13" s="48">
        <f>'Stats Fab'!G16</f>
        <v>180</v>
      </c>
      <c r="C13" s="49"/>
      <c r="D13" s="48">
        <f t="shared" si="4"/>
        <v>180</v>
      </c>
      <c r="E13" s="39">
        <v>180.0</v>
      </c>
      <c r="F13" s="34"/>
      <c r="G13" s="34" t="s">
        <v>98</v>
      </c>
      <c r="H13" s="59" t="b">
        <v>0</v>
      </c>
    </row>
    <row r="14" ht="30.0" customHeight="1">
      <c r="A14" s="34" t="s">
        <v>99</v>
      </c>
      <c r="B14" s="34" t="s">
        <v>100</v>
      </c>
      <c r="C14" s="34" t="s">
        <v>101</v>
      </c>
      <c r="D14" s="34" t="s">
        <v>144</v>
      </c>
      <c r="E14" s="34" t="s">
        <v>103</v>
      </c>
      <c r="F14" s="31">
        <v>0.0</v>
      </c>
      <c r="G14" s="34" t="s">
        <v>104</v>
      </c>
      <c r="H14" s="50" t="b">
        <v>0</v>
      </c>
    </row>
    <row r="15" ht="30.0" customHeight="1">
      <c r="A15" s="54" t="s">
        <v>105</v>
      </c>
      <c r="B15" s="48"/>
      <c r="C15" s="49"/>
      <c r="D15" s="48">
        <f t="shared" ref="D15:D17" si="5">B15+C15</f>
        <v>0</v>
      </c>
      <c r="E15" s="39">
        <v>0.0</v>
      </c>
      <c r="F15" s="34"/>
      <c r="G15" s="34" t="s">
        <v>106</v>
      </c>
      <c r="H15" s="50" t="b">
        <v>0</v>
      </c>
    </row>
    <row r="16" ht="30.0" customHeight="1">
      <c r="A16" s="55" t="s">
        <v>107</v>
      </c>
      <c r="B16" s="48">
        <f>'Stats Fab'!G18</f>
        <v>10</v>
      </c>
      <c r="C16" s="49"/>
      <c r="D16" s="48">
        <f t="shared" si="5"/>
        <v>10</v>
      </c>
      <c r="E16" s="39">
        <v>10.0</v>
      </c>
      <c r="F16" s="34"/>
      <c r="G16" s="34" t="s">
        <v>108</v>
      </c>
      <c r="H16" s="50" t="b">
        <v>0</v>
      </c>
      <c r="I16" s="44"/>
    </row>
    <row r="17" ht="30.0" customHeight="1">
      <c r="A17" s="61" t="s">
        <v>109</v>
      </c>
      <c r="B17" s="48"/>
      <c r="C17" s="49"/>
      <c r="D17" s="48">
        <f t="shared" si="5"/>
        <v>0</v>
      </c>
      <c r="E17" s="39">
        <v>0.0</v>
      </c>
      <c r="F17" s="62"/>
      <c r="G17" s="62"/>
      <c r="H17" s="59"/>
    </row>
    <row r="18" ht="30.0" customHeight="1">
      <c r="A18" s="38"/>
      <c r="B18" s="38"/>
      <c r="C18" s="38"/>
      <c r="D18" s="38"/>
      <c r="E18" s="38"/>
      <c r="F18" s="38"/>
      <c r="G18" s="38"/>
    </row>
    <row r="19" ht="30.0" customHeight="1">
      <c r="A19" s="63"/>
      <c r="B19" s="38"/>
      <c r="C19" s="38"/>
      <c r="D19" s="38"/>
      <c r="E19" s="38"/>
      <c r="F19" s="38"/>
      <c r="G19" s="38"/>
    </row>
    <row r="20" ht="30.0" customHeight="1">
      <c r="A20" s="63"/>
      <c r="B20" s="38"/>
      <c r="C20" s="38"/>
      <c r="D20" s="38"/>
      <c r="E20" s="38"/>
      <c r="F20" s="38"/>
      <c r="G20" s="38"/>
    </row>
    <row r="21" ht="30.0" customHeight="1">
      <c r="A21" s="38"/>
      <c r="D21" s="38"/>
      <c r="E21" s="38"/>
      <c r="F21" s="38"/>
      <c r="G21" s="38"/>
    </row>
    <row r="22" ht="30.0" customHeight="1">
      <c r="A22" s="66"/>
      <c r="B22" s="58"/>
      <c r="C22" s="58"/>
      <c r="D22" s="58"/>
      <c r="E22" s="38"/>
      <c r="G22" s="38"/>
    </row>
    <row r="23" ht="30.0" customHeight="1">
      <c r="A23" s="66" t="s">
        <v>112</v>
      </c>
      <c r="B23" s="67" t="s">
        <v>113</v>
      </c>
      <c r="C23" s="67" t="s">
        <v>114</v>
      </c>
      <c r="D23" s="67" t="s">
        <v>115</v>
      </c>
      <c r="E23" s="42" t="s">
        <v>116</v>
      </c>
      <c r="F23" s="38"/>
    </row>
    <row r="24" ht="30.0" customHeight="1">
      <c r="B24" s="68" t="s">
        <v>117</v>
      </c>
      <c r="C24" s="69" t="s">
        <v>209</v>
      </c>
      <c r="D24" s="69">
        <v>1.0</v>
      </c>
      <c r="E24" s="50" t="s">
        <v>253</v>
      </c>
      <c r="F24" s="38"/>
      <c r="G24" s="38"/>
    </row>
    <row r="25" ht="30.0" customHeight="1">
      <c r="B25" s="68" t="s">
        <v>117</v>
      </c>
      <c r="C25" s="69" t="s">
        <v>254</v>
      </c>
      <c r="D25" s="69">
        <v>1.0</v>
      </c>
      <c r="E25" s="50" t="s">
        <v>255</v>
      </c>
      <c r="F25" s="38"/>
      <c r="G25" s="38"/>
    </row>
    <row r="26" ht="30.0" customHeight="1">
      <c r="B26" s="68" t="s">
        <v>117</v>
      </c>
      <c r="C26" s="69" t="s">
        <v>256</v>
      </c>
      <c r="D26" s="69">
        <v>1.0</v>
      </c>
      <c r="E26" s="50" t="s">
        <v>257</v>
      </c>
      <c r="F26" s="38"/>
      <c r="G26" s="38"/>
    </row>
    <row r="27" ht="30.0" customHeight="1">
      <c r="B27" s="68" t="s">
        <v>120</v>
      </c>
      <c r="C27" s="69" t="s">
        <v>121</v>
      </c>
      <c r="D27" s="69">
        <v>1.0</v>
      </c>
      <c r="E27" s="50" t="s">
        <v>122</v>
      </c>
      <c r="F27" s="38"/>
      <c r="G27" s="38"/>
    </row>
    <row r="28" ht="30.0" customHeight="1">
      <c r="B28" s="68" t="s">
        <v>120</v>
      </c>
      <c r="C28" s="69" t="s">
        <v>123</v>
      </c>
      <c r="D28" s="69">
        <v>1.0</v>
      </c>
      <c r="E28" s="50" t="s">
        <v>124</v>
      </c>
      <c r="F28" s="38"/>
      <c r="G28" s="38"/>
    </row>
    <row r="29" ht="30.0" customHeight="1">
      <c r="A29" s="38"/>
      <c r="B29" s="68" t="s">
        <v>129</v>
      </c>
      <c r="C29" s="69" t="s">
        <v>131</v>
      </c>
      <c r="D29" s="69">
        <v>0.0</v>
      </c>
      <c r="E29" s="50"/>
      <c r="F29" s="38"/>
      <c r="G29" s="38"/>
    </row>
    <row r="30" ht="30.0" customHeight="1">
      <c r="A30" s="38"/>
      <c r="B30" s="68" t="s">
        <v>129</v>
      </c>
      <c r="C30" s="69" t="s">
        <v>234</v>
      </c>
      <c r="D30" s="69">
        <v>1.0</v>
      </c>
      <c r="E30" s="62"/>
      <c r="F30" s="38"/>
      <c r="G30" s="38"/>
    </row>
    <row r="31" ht="30.0" customHeight="1">
      <c r="A31" s="38"/>
      <c r="B31" s="68" t="s">
        <v>129</v>
      </c>
      <c r="C31" s="69" t="s">
        <v>235</v>
      </c>
      <c r="D31" s="69">
        <v>1.0</v>
      </c>
      <c r="E31" s="62"/>
      <c r="F31" s="38"/>
      <c r="G31" s="38"/>
    </row>
    <row r="32" ht="30.0" customHeight="1">
      <c r="A32" s="38"/>
      <c r="B32" s="68" t="s">
        <v>129</v>
      </c>
      <c r="C32" s="69" t="s">
        <v>236</v>
      </c>
      <c r="D32" s="69">
        <v>1.0</v>
      </c>
      <c r="E32" s="62"/>
      <c r="F32" s="38"/>
      <c r="G32" s="38"/>
    </row>
    <row r="33" ht="30.0" customHeight="1">
      <c r="A33" s="38"/>
      <c r="B33" s="68" t="s">
        <v>129</v>
      </c>
      <c r="C33" s="69" t="s">
        <v>258</v>
      </c>
      <c r="D33" s="69">
        <v>1.0</v>
      </c>
      <c r="E33" s="50" t="s">
        <v>259</v>
      </c>
      <c r="F33" s="38"/>
      <c r="G33" s="38"/>
    </row>
    <row r="34" ht="30.0" customHeight="1">
      <c r="A34" s="38"/>
      <c r="B34" s="84" t="s">
        <v>129</v>
      </c>
      <c r="C34" s="115" t="s">
        <v>260</v>
      </c>
      <c r="D34" s="83">
        <v>1.0</v>
      </c>
      <c r="E34" s="50" t="s">
        <v>255</v>
      </c>
      <c r="F34" s="38"/>
      <c r="G34" s="38"/>
    </row>
    <row r="35" ht="30.0" customHeight="1">
      <c r="A35" s="38"/>
      <c r="B35" s="84" t="s">
        <v>129</v>
      </c>
      <c r="C35" s="115" t="s">
        <v>261</v>
      </c>
      <c r="D35" s="83">
        <v>1.0</v>
      </c>
      <c r="E35" s="50" t="s">
        <v>262</v>
      </c>
      <c r="F35" s="38"/>
      <c r="G35" s="38"/>
    </row>
    <row r="36" ht="30.0" customHeight="1">
      <c r="A36" s="38"/>
      <c r="B36" s="84" t="s">
        <v>129</v>
      </c>
      <c r="C36" s="115" t="s">
        <v>263</v>
      </c>
      <c r="D36" s="83">
        <v>1.0</v>
      </c>
      <c r="E36" s="50" t="s">
        <v>264</v>
      </c>
      <c r="F36" s="38"/>
      <c r="G36" s="38"/>
    </row>
    <row r="37" ht="30.0" customHeight="1">
      <c r="A37" s="38"/>
      <c r="B37" s="38"/>
      <c r="C37" s="38"/>
      <c r="D37" s="38"/>
      <c r="E37" s="38"/>
      <c r="F37" s="38"/>
      <c r="G37" s="38"/>
    </row>
    <row r="38" ht="30.0" customHeight="1">
      <c r="A38" s="38"/>
      <c r="B38" s="38"/>
      <c r="C38" s="38"/>
      <c r="D38" s="38"/>
      <c r="E38" s="38"/>
      <c r="F38" s="38"/>
      <c r="G38" s="38"/>
    </row>
    <row r="39" ht="30.0" customHeight="1">
      <c r="A39" s="38"/>
      <c r="B39" s="38"/>
      <c r="C39" s="38"/>
      <c r="D39" s="38"/>
      <c r="E39" s="38"/>
      <c r="F39" s="38"/>
      <c r="G39" s="38"/>
    </row>
    <row r="40" ht="30.0" customHeight="1">
      <c r="A40" s="38"/>
      <c r="B40" s="38"/>
      <c r="C40" s="38"/>
      <c r="D40" s="38"/>
      <c r="E40" s="38"/>
      <c r="F40" s="38"/>
      <c r="G40" s="38"/>
    </row>
    <row r="41" ht="30.0" customHeight="1">
      <c r="B41" s="38"/>
      <c r="C41" s="38"/>
      <c r="D41" s="38"/>
      <c r="E41" s="38"/>
    </row>
    <row r="42" ht="30.0" customHeight="1">
      <c r="B42" s="38"/>
      <c r="C42" s="38"/>
      <c r="D42" s="38"/>
      <c r="E42" s="38"/>
    </row>
    <row r="43" ht="30.0" customHeight="1">
      <c r="B43" s="38"/>
      <c r="C43" s="38"/>
      <c r="D43" s="38"/>
      <c r="E43" s="38"/>
    </row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</sheetData>
  <dataValidations>
    <dataValidation type="custom" allowBlank="1" showDropDown="1" sqref="B2:B17 D2:E17">
      <formula1>AND(ISNUMBER(B2),(NOT(OR(NOT(ISERROR(DATEVALUE(B2))), AND(ISNUMBER(B2), LEFT(CELL("format", B2))="D")))))</formula1>
    </dataValidation>
  </dataValidations>
  <drawing r:id="rId1"/>
  <tableParts count="2">
    <tablePart r:id="rId4"/>
    <tablePart r:id="rId5"/>
  </tableParts>
</worksheet>
</file>